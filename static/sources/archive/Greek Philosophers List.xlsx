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" sheetId="1" r:id="rId5"/>
    <sheet state="visible" name="philosophers AI enabled list" sheetId="2" r:id="rId6"/>
    <sheet state="visible" name="philosophers ChatGPT List" sheetId="3" r:id="rId7"/>
    <sheet state="visible" name="philosophers Sheet4" sheetId="4" r:id="rId8"/>
    <sheet state="visible" name="Female Philosophers" sheetId="5" r:id="rId9"/>
  </sheets>
  <definedNames/>
  <calcPr/>
</workbook>
</file>

<file path=xl/sharedStrings.xml><?xml version="1.0" encoding="utf-8"?>
<sst xmlns="http://schemas.openxmlformats.org/spreadsheetml/2006/main" count="1750" uniqueCount="748">
  <si>
    <t>The Republic</t>
  </si>
  <si>
    <t>Plato</t>
  </si>
  <si>
    <t>The Symposium</t>
  </si>
  <si>
    <t>The Apology</t>
  </si>
  <si>
    <t>Phaedrus</t>
  </si>
  <si>
    <t>Meno</t>
  </si>
  <si>
    <t>Phaedo</t>
  </si>
  <si>
    <t>Theaetetus</t>
  </si>
  <si>
    <t>Protagoras</t>
  </si>
  <si>
    <t>Gorgias</t>
  </si>
  <si>
    <t>Euthyphro</t>
  </si>
  <si>
    <t>Parmenides</t>
  </si>
  <si>
    <t>Sophist</t>
  </si>
  <si>
    <t>Statesman</t>
  </si>
  <si>
    <t>Critias</t>
  </si>
  <si>
    <t>Timaeus</t>
  </si>
  <si>
    <t>Laches</t>
  </si>
  <si>
    <t>Charmides</t>
  </si>
  <si>
    <t>Lysis</t>
  </si>
  <si>
    <t>The Ethical Treatises</t>
  </si>
  <si>
    <t>Plotinus</t>
  </si>
  <si>
    <t>On the Nature of the Universe</t>
  </si>
  <si>
    <t>On the Knowing Hypostases and the Transcendent</t>
  </si>
  <si>
    <t>On the Presence of Being, One and the Same, Everywhere as a Whole</t>
  </si>
  <si>
    <t>That the Intelligibles are not External to the Intellect, and on the Good</t>
  </si>
  <si>
    <t>On the Kinds of Being</t>
  </si>
  <si>
    <t>Introduction to Categories (Isagoge)</t>
  </si>
  <si>
    <t>Porphyry</t>
  </si>
  <si>
    <t>Life of Plotinus</t>
  </si>
  <si>
    <t>On Abstinence from Killing Animals</t>
  </si>
  <si>
    <t>Sententiae Ad Intelligibilia Ducentes (Pathways to the Intelligible)</t>
  </si>
  <si>
    <t>Homeric Questions</t>
  </si>
  <si>
    <t>De Mysteriis (On the Mysteries)</t>
  </si>
  <si>
    <t>Iamblichus</t>
  </si>
  <si>
    <t>Theurgia or On the Egyptian Mysteries</t>
  </si>
  <si>
    <t>Life of Pythagoras</t>
  </si>
  <si>
    <t>The Elements of Theology</t>
  </si>
  <si>
    <t>Proclus</t>
  </si>
  <si>
    <t>Platonic Theology</t>
  </si>
  <si>
    <t>Commentary on Plato's Parmenides</t>
  </si>
  <si>
    <t>Commentary on Plato's Timaeus</t>
  </si>
  <si>
    <t>The Platonic Questions</t>
  </si>
  <si>
    <t>On Providence</t>
  </si>
  <si>
    <t>On the Subsistence of Evil</t>
  </si>
  <si>
    <t>Commentary on Aristotle's Metaphysics</t>
  </si>
  <si>
    <t>Syrianus</t>
  </si>
  <si>
    <t>Commentary on Aristotle's On the Soul</t>
  </si>
  <si>
    <t>Commentary on Hermias's Phaedrus</t>
  </si>
  <si>
    <t>Commentaries on Aristotle's On the Heavens</t>
  </si>
  <si>
    <t>Simplicius of Cilicia</t>
  </si>
  <si>
    <t>Commentaries on Aristotle's Categories</t>
  </si>
  <si>
    <t>Commentaries on Aristotle's Physics</t>
  </si>
  <si>
    <t>Name</t>
  </si>
  <si>
    <t>Period</t>
  </si>
  <si>
    <t>Teacher</t>
  </si>
  <si>
    <t>School</t>
  </si>
  <si>
    <t>School 2</t>
  </si>
  <si>
    <t>Notes</t>
  </si>
  <si>
    <t>Aedesia</t>
  </si>
  <si>
    <t>5th century</t>
  </si>
  <si>
    <t>Neoplatonic</t>
  </si>
  <si>
    <t>Platonic</t>
  </si>
  <si>
    <t>wife of Hermias, and mother of Ammonius and Heliodorus</t>
  </si>
  <si>
    <t>Aedesius</t>
  </si>
  <si>
    <t>3rd / 4th century</t>
  </si>
  <si>
    <t>studied under Iamblichus before founding his own school in Pergamum</t>
  </si>
  <si>
    <t>Aeneas of Gaza</t>
  </si>
  <si>
    <t>fl. 5th century / died c. 518</t>
  </si>
  <si>
    <t>Neoplatonist</t>
  </si>
  <si>
    <t>Christian convert who studied under Hierocles</t>
  </si>
  <si>
    <t>Aeschines of Neapolis</t>
  </si>
  <si>
    <t>fl. c. 110 BC</t>
  </si>
  <si>
    <t>New Academy</t>
  </si>
  <si>
    <t>shared the leadership of the Academy at Athens together with Charmadas and 
Clitomachus about 110 BC</t>
  </si>
  <si>
    <t>Agapius</t>
  </si>
  <si>
    <t>fl. 5th – 6th century</t>
  </si>
  <si>
    <t>studied under Marinus of Neapolis. known for his learning</t>
  </si>
  <si>
    <t>Albinus</t>
  </si>
  <si>
    <t>fl. c. 150</t>
  </si>
  <si>
    <t>Middle Platonist</t>
  </si>
  <si>
    <t>Alcinous</t>
  </si>
  <si>
    <t>fl. c. 2nd century</t>
  </si>
  <si>
    <t>Ambrosius Theodosius Macrobius</t>
  </si>
  <si>
    <t>fl. 395 – 423</t>
  </si>
  <si>
    <t>Amelius</t>
  </si>
  <si>
    <t>fl. c. 250 – 300</t>
  </si>
  <si>
    <t>student of Plotinus who wrote voluminously</t>
  </si>
  <si>
    <t>Ammonius Hermiae</t>
  </si>
  <si>
    <t>c. 440 – c. 520</t>
  </si>
  <si>
    <t>Ammonius of Athens</t>
  </si>
  <si>
    <t>fl. 1st century</t>
  </si>
  <si>
    <t>teacher of Plutarch</t>
  </si>
  <si>
    <t>Antiochus of Ascalon</t>
  </si>
  <si>
    <t>c. 130 BC – 68/67 BC</t>
  </si>
  <si>
    <t>Antoninus</t>
  </si>
  <si>
    <t>fl. 4th century</t>
  </si>
  <si>
    <t>Apuleius</t>
  </si>
  <si>
    <t>c. 125 – c. 180</t>
  </si>
  <si>
    <t>Arcesilaus</t>
  </si>
  <si>
    <t>c. 316 BC – c. 241 BC</t>
  </si>
  <si>
    <t>Middle Academy</t>
  </si>
  <si>
    <t>Aristonymus</t>
  </si>
  <si>
    <t>fl. 4th century BC</t>
  </si>
  <si>
    <t>Academy</t>
  </si>
  <si>
    <t>Asclepigenia</t>
  </si>
  <si>
    <t>fl. 430</t>
  </si>
  <si>
    <t>Asclepiodotus of Alexandria</t>
  </si>
  <si>
    <t>fl. c. 550-600</t>
  </si>
  <si>
    <t>Atticus</t>
  </si>
  <si>
    <t>fl. c. 175</t>
  </si>
  <si>
    <t>Augustine of Hippo</t>
  </si>
  <si>
    <t>354 – 430 AD</t>
  </si>
  <si>
    <t>Axiothea of Phlius</t>
  </si>
  <si>
    <t>Boethius</t>
  </si>
  <si>
    <t>c. 477–524 AD</t>
  </si>
  <si>
    <t>Calippus of Syracuse</t>
  </si>
  <si>
    <t>died 351/0 BC</t>
  </si>
  <si>
    <t>Carneades of Carnea</t>
  </si>
  <si>
    <t>c. 214 BC – 129/8 BC</t>
  </si>
  <si>
    <t>Cassius Longinus</t>
  </si>
  <si>
    <t>c. 213–273</t>
  </si>
  <si>
    <t>Chaeron of Pellene</t>
  </si>
  <si>
    <t>Charmadas</t>
  </si>
  <si>
    <t>164 BC – c. 95 BC</t>
  </si>
  <si>
    <t>Chrysanthius of Sardis</t>
  </si>
  <si>
    <t>Clement of Alexandria</t>
  </si>
  <si>
    <t>c. 150 – c. 215</t>
  </si>
  <si>
    <t>Clitomachus</t>
  </si>
  <si>
    <t>187 BC – 109 BC</t>
  </si>
  <si>
    <t>Coriscus of Scepsis</t>
  </si>
  <si>
    <t>Crantor</t>
  </si>
  <si>
    <t>born c. 350 BC</t>
  </si>
  <si>
    <t>Crates of Athens</t>
  </si>
  <si>
    <t>died 268–265 BC</t>
  </si>
  <si>
    <t>Damascius</t>
  </si>
  <si>
    <t>born c. 458, died after 538</t>
  </si>
  <si>
    <t>Demetrius of Amphipolis</t>
  </si>
  <si>
    <t>Dexippus</t>
  </si>
  <si>
    <t>fl. 350</t>
  </si>
  <si>
    <t>Dio of Alexandria</t>
  </si>
  <si>
    <t>fl. 1st century BC</t>
  </si>
  <si>
    <t>Diocles of Cnidus</t>
  </si>
  <si>
    <t>fl. 3rd or 2nd century BC?</t>
  </si>
  <si>
    <t>Diodorus of Adramyttium</t>
  </si>
  <si>
    <t>Domninus of Larissa</t>
  </si>
  <si>
    <t>c. 420 – c. 480</t>
  </si>
  <si>
    <t>Erastus of Scepsis</t>
  </si>
  <si>
    <t>Euaeon of Lampsacus</t>
  </si>
  <si>
    <t>Eudoxus of Cnidus</t>
  </si>
  <si>
    <t>410/408 BC – 355/347 BC</t>
  </si>
  <si>
    <t>Eusebius of Myndus</t>
  </si>
  <si>
    <t>Eustathius of Cappadocia</t>
  </si>
  <si>
    <t>c. 400</t>
  </si>
  <si>
    <t>Evander</t>
  </si>
  <si>
    <t>fl. c. 215 – c. 205</t>
  </si>
  <si>
    <t>Gaius the Platonist</t>
  </si>
  <si>
    <t>fl. 2nd century</t>
  </si>
  <si>
    <t>Hagnon of Tarsus</t>
  </si>
  <si>
    <t>fl. 2nd century BC</t>
  </si>
  <si>
    <t>Hegesinus of Pergamon</t>
  </si>
  <si>
    <t>fl. c. 160 BC</t>
  </si>
  <si>
    <t>Hegias</t>
  </si>
  <si>
    <t>fl. c. 500</t>
  </si>
  <si>
    <t>Heliodorus of Alexandria</t>
  </si>
  <si>
    <t>fl. 5th century</t>
  </si>
  <si>
    <t>Heraclides of Aenus</t>
  </si>
  <si>
    <t>Heraclides Ponticus</t>
  </si>
  <si>
    <t>387 BC – 312 BC</t>
  </si>
  <si>
    <t>Hermias</t>
  </si>
  <si>
    <t>born c. 410 – died c. 450</t>
  </si>
  <si>
    <t>Hermodorus of Syracuse</t>
  </si>
  <si>
    <t>Hestiaeus of Perinthus</t>
  </si>
  <si>
    <t>Hierius</t>
  </si>
  <si>
    <t>fl c. 500</t>
  </si>
  <si>
    <t>Hierocles of Alexandria</t>
  </si>
  <si>
    <t>fl. c. 430</t>
  </si>
  <si>
    <t>Hypatia of Alexandria</t>
  </si>
  <si>
    <t>born 350-370 – 415</t>
  </si>
  <si>
    <t>Iamblichus Chalcidensis</t>
  </si>
  <si>
    <t>c. 245 – c. 325</t>
  </si>
  <si>
    <t>Isidore of Alexandria</t>
  </si>
  <si>
    <t>fl. c. 475</t>
  </si>
  <si>
    <t>Lacydes of Cyrene</t>
  </si>
  <si>
    <t>before 241 – c. 205 BC</t>
  </si>
  <si>
    <t>Lastheneia of Mantinea</t>
  </si>
  <si>
    <t>Marinus of Neapolis</t>
  </si>
  <si>
    <t>born c. 450</t>
  </si>
  <si>
    <t>Maximus of Ephesus</t>
  </si>
  <si>
    <t>died 372</t>
  </si>
  <si>
    <t>Maximus of Tyre</t>
  </si>
  <si>
    <t>Menedemus of Pyrrha</t>
  </si>
  <si>
    <t>fl. c. 350 BC</t>
  </si>
  <si>
    <t>Metrodorus of Stratonicea</t>
  </si>
  <si>
    <t>Numenius of Apamea</t>
  </si>
  <si>
    <t>fl. c. 275</t>
  </si>
  <si>
    <t>Nymphidianus of Smyrna</t>
  </si>
  <si>
    <t>fl. c. 360</t>
  </si>
  <si>
    <t>Olympiodorus the Younger</t>
  </si>
  <si>
    <t>c. 495 – 570</t>
  </si>
  <si>
    <t>Onasander</t>
  </si>
  <si>
    <t>Origen</t>
  </si>
  <si>
    <t>c. 184 – c. 253</t>
  </si>
  <si>
    <t>Origen the Pagan</t>
  </si>
  <si>
    <t>fl. c. 250</t>
  </si>
  <si>
    <t>Philip of Opus</t>
  </si>
  <si>
    <t>Philo of Alexandria</t>
  </si>
  <si>
    <t>20 BC – 50 AD</t>
  </si>
  <si>
    <t>Philo of Larissa</t>
  </si>
  <si>
    <t>159/158 BC – 84/83 BC</t>
  </si>
  <si>
    <t>428/427 BC – 348/347 BC</t>
  </si>
  <si>
    <t>c. 204 – 270</t>
  </si>
  <si>
    <t>Plutarch</t>
  </si>
  <si>
    <t>c. 46 – 120</t>
  </si>
  <si>
    <t>Plutarch of Athens</t>
  </si>
  <si>
    <t>c. 350 – 430</t>
  </si>
  <si>
    <t>Polemon</t>
  </si>
  <si>
    <t>before 314 BC – 270/269 BC</t>
  </si>
  <si>
    <t>Porphyry of Tyre</t>
  </si>
  <si>
    <t>234 – c. 305</t>
  </si>
  <si>
    <t>Priscian of Lydia</t>
  </si>
  <si>
    <t>fl. c. 550</t>
  </si>
  <si>
    <t>Priscus of Epirus</t>
  </si>
  <si>
    <t>c. 305 – c. 395</t>
  </si>
  <si>
    <t>Proclus Lycaeus</t>
  </si>
  <si>
    <t>412 – 485</t>
  </si>
  <si>
    <t>Pseudo-Dionysius the Areopagite</t>
  </si>
  <si>
    <t>fl. 500</t>
  </si>
  <si>
    <t>Python of Aenus</t>
  </si>
  <si>
    <t>c. 490 – c. 560</t>
  </si>
  <si>
    <t>Sopater of Apamea</t>
  </si>
  <si>
    <t>died before 337</t>
  </si>
  <si>
    <t>Sosipatra of Ephesus</t>
  </si>
  <si>
    <t>fl. c. 325</t>
  </si>
  <si>
    <t>Speusippus</t>
  </si>
  <si>
    <t>c. 407 BC – 339 BC</t>
  </si>
  <si>
    <t>Synesius</t>
  </si>
  <si>
    <t>c. 373 – c. 414</t>
  </si>
  <si>
    <t>died c. 437</t>
  </si>
  <si>
    <t>Telecles of Phocis</t>
  </si>
  <si>
    <t>died 167/1666 BC</t>
  </si>
  <si>
    <t>Theodorus of Asine</t>
  </si>
  <si>
    <t>fl. 3rd century</t>
  </si>
  <si>
    <t>Timaeus the Sophist</t>
  </si>
  <si>
    <t>fl. between 1st and 4th centuries</t>
  </si>
  <si>
    <t>Timolaus of Cyzicus</t>
  </si>
  <si>
    <t>Xenocrates of Chalcedon</t>
  </si>
  <si>
    <t>c. 396 BC – 314 BC</t>
  </si>
  <si>
    <t>Zenodotus</t>
  </si>
  <si>
    <t>Ammonius Saccas</t>
  </si>
  <si>
    <t>2nd / 3rd century AD</t>
  </si>
  <si>
    <t>Plotinus' teacher</t>
  </si>
  <si>
    <t>Aristarchus of Samos</t>
  </si>
  <si>
    <t>4th / 3rd century BC</t>
  </si>
  <si>
    <t>Academic skeptic</t>
  </si>
  <si>
    <t>presented the first known model that placed the Sun at the center of the 
known universe with the Earth revolving around it.</t>
  </si>
  <si>
    <t>Damo</t>
  </si>
  <si>
    <t>5th century B.C.</t>
  </si>
  <si>
    <t>Pythagorean</t>
  </si>
  <si>
    <t>reportedly the daughter of Pythagoras and Theano</t>
  </si>
  <si>
    <t>Epicurus</t>
  </si>
  <si>
    <t>Epicurean</t>
  </si>
  <si>
    <t>said that the purpose of philosophy was to attain tranquility characterized 
by *ataraxia*</t>
  </si>
  <si>
    <t>Zeno of Sidon</t>
  </si>
  <si>
    <t>150-75 B.C.</t>
  </si>
  <si>
    <t>sometimes termed the "leading Epicurean"</t>
  </si>
  <si>
    <t>Basilides the Epicurean</t>
  </si>
  <si>
    <t>3rd / 2nd century BC</t>
  </si>
  <si>
    <t>Succeeded Dionysius of Lamptrai as the head of the Epicurean school at 
Athens</t>
  </si>
  <si>
    <t>taught by Plotinus; wrote the *Isagoge*, an introduction to Aristotle's 
"Categories",</t>
  </si>
  <si>
    <t>Epictetus</t>
  </si>
  <si>
    <t>Stoic</t>
  </si>
  <si>
    <t>wrote *The Enchiridion*, a handbook of Stoic ethical advice</t>
  </si>
  <si>
    <t>Dionysius the Renegade</t>
  </si>
  <si>
    <t>abandoned Stoicism for Cyrenaicism</t>
  </si>
  <si>
    <t>Heraclitus</t>
  </si>
  <si>
    <t>Presocratic, Ephesian</t>
  </si>
  <si>
    <t>claimed that "You cannot step in the same river twice" and "All is fire."</t>
  </si>
  <si>
    <t>Xenophanes of Colophon</t>
  </si>
  <si>
    <t>Presocratic, Eleatic</t>
  </si>
  <si>
    <t>claimed that if oxen were able to imagine gods, those gods would be in the 
image of oxen</t>
  </si>
  <si>
    <t>Socrates</t>
  </si>
  <si>
    <t>Socratic</t>
  </si>
  <si>
    <t>considered one of the founders of Western philosophy; credited as being the 
first moral philosopher</t>
  </si>
  <si>
    <t>Pyrrho</t>
  </si>
  <si>
    <t>Pyrrhonist</t>
  </si>
  <si>
    <t>credited as being the first skeptic philosopher</t>
  </si>
  <si>
    <t>Basilides (Stoic)</t>
  </si>
  <si>
    <t>2nd century BC</t>
  </si>
  <si>
    <t>Denied the existence of incorporeal entities</t>
  </si>
  <si>
    <t>described as "the darling of Proclus"</t>
  </si>
  <si>
    <t>Zeno of Elea</t>
  </si>
  <si>
    <t>famous creator of Zeno's paradoxes</t>
  </si>
  <si>
    <t>Thales</t>
  </si>
  <si>
    <t>Presocratic, Milesian</t>
  </si>
  <si>
    <t>first philosopher; held that the first principle (*arche*) is water; one of 
the Seven Sages of Greece</t>
  </si>
  <si>
    <t>Zenobius</t>
  </si>
  <si>
    <t>2nd century A.D.</t>
  </si>
  <si>
    <t>flourished in the times of the emperor Hadrian</t>
  </si>
  <si>
    <t>Aristotle</t>
  </si>
  <si>
    <t>4th century BC</t>
  </si>
  <si>
    <t>Peripatetic</t>
  </si>
  <si>
    <t>founder of Peripatetic school; student of Plato</t>
  </si>
  <si>
    <t>Zeno of Citium</t>
  </si>
  <si>
    <t>334-262 B.C.</t>
  </si>
  <si>
    <t>founder of the Stoic school of philosophy</t>
  </si>
  <si>
    <t>Xenophilus</t>
  </si>
  <si>
    <t>friend and teacher of Aristoxenus</t>
  </si>
  <si>
    <t>Parmenides of Elea</t>
  </si>
  <si>
    <t>held that the only thing that exists is being itself; teacher of Zeno of 
Elea</t>
  </si>
  <si>
    <t>Bion of Borysthenes</t>
  </si>
  <si>
    <t>Cynic</t>
  </si>
  <si>
    <t>Once was a slave, later to be released</t>
  </si>
  <si>
    <t>Dardanus of Athens</t>
  </si>
  <si>
    <t>160-85 B.C.</t>
  </si>
  <si>
    <t>one of the several leaders of Stoa after the death of Panaetius</t>
  </si>
  <si>
    <t>Phaedo of Elis</t>
  </si>
  <si>
    <t>Eretrian</t>
  </si>
  <si>
    <t>Originally founded the School of Elis; it was later transferred to Eretria 
by his pupil Menedemus.</t>
  </si>
  <si>
    <t>Acrion</t>
  </si>
  <si>
    <t>5th / 4th century BC</t>
  </si>
  <si>
    <t>visited by Plato</t>
  </si>
  <si>
    <t>Adrastus of Aphrodisias</t>
  </si>
  <si>
    <t>2nd century AD</t>
  </si>
  <si>
    <t>wrote commentaries on Aristotle's works and a commentary on Plato's Timaeus</t>
  </si>
  <si>
    <t>Aenesidemus</t>
  </si>
  <si>
    <t>1st century BC?</t>
  </si>
  <si>
    <t>wrote a book called *Pyrrhonist Discourses* which became a central text for 
the Pyrrhonists</t>
  </si>
  <si>
    <t>Aesara</t>
  </si>
  <si>
    <t>wrote On Human Nature, of which a fragment is preserved by Stobaeus</t>
  </si>
  <si>
    <t>Aeschines of Sphettus</t>
  </si>
  <si>
    <t>part of Socrates' circle and likely present at his death</t>
  </si>
  <si>
    <t>Aetius</t>
  </si>
  <si>
    <t>4th century AD</t>
  </si>
  <si>
    <t>Antiochean convert to Christianity who studied in Alexandria</t>
  </si>
  <si>
    <t>Agathobulus</t>
  </si>
  <si>
    <t>1st / 2nd century AD</t>
  </si>
  <si>
    <t>known for his severe asceticism and teacher of Demonax</t>
  </si>
  <si>
    <t>Agathosthenes</t>
  </si>
  <si>
    <t>uncertain date</t>
  </si>
  <si>
    <t>geographer, historian or philosopher</t>
  </si>
  <si>
    <t>referred to by Tzetzes as his authority in matters connected with 
geography.</t>
  </si>
  <si>
    <t>Agrippa the Skeptic</t>
  </si>
  <si>
    <t>thought to be the creator of the "five grounds of doubt"</t>
  </si>
  <si>
    <t>Alcibiades</t>
  </si>
  <si>
    <t>450-404 BC</t>
  </si>
  <si>
    <t>Athenian General and Politician</t>
  </si>
  <si>
    <t>Alcmaeon of Croton</t>
  </si>
  <si>
    <t>5th / 5th century BC</t>
  </si>
  <si>
    <t>interested in medicine</t>
  </si>
  <si>
    <t>Alexamenus of Teos</t>
  </si>
  <si>
    <t>5th century BC?</t>
  </si>
  <si>
    <t>may have been the first to write philosophical dialogues</t>
  </si>
  <si>
    <t>Alexander of Aegae</t>
  </si>
  <si>
    <t>1st century AD</t>
  </si>
  <si>
    <t>tutored the emperor Nero</t>
  </si>
  <si>
    <t>Alexander of Aphrodisias</t>
  </si>
  <si>
    <t>influential commentator on the Corpus Aristotelicum</t>
  </si>
  <si>
    <t>Alexicrates</t>
  </si>
  <si>
    <t>Alexinus</t>
  </si>
  <si>
    <t>Megarian</t>
  </si>
  <si>
    <t>founded his own school which did not fare well</t>
  </si>
  <si>
    <t>Anaxagoras</t>
  </si>
  <si>
    <t>5th century BC</t>
  </si>
  <si>
    <t>Pluralist</t>
  </si>
  <si>
    <t>Anaxarchus</t>
  </si>
  <si>
    <t>Atomist</t>
  </si>
  <si>
    <t>Anaxilaus</t>
  </si>
  <si>
    <t>1st century BC / 1st century AD</t>
  </si>
  <si>
    <t>Anaximander</t>
  </si>
  <si>
    <t>7th / 6th century BC</t>
  </si>
  <si>
    <t>Milesian</t>
  </si>
  <si>
    <t>Anaximenes of Miletus</t>
  </si>
  <si>
    <t>6th century BC</t>
  </si>
  <si>
    <t>Androcydes</t>
  </si>
  <si>
    <t>2nd century BC?</t>
  </si>
  <si>
    <t>Andronicus of Rhodes</t>
  </si>
  <si>
    <t>1st century BC</t>
  </si>
  <si>
    <t>Anniceris</t>
  </si>
  <si>
    <t>Cyrenaic</t>
  </si>
  <si>
    <t>2nd / 1st century BC</t>
  </si>
  <si>
    <t>Antipater of Cyrene</t>
  </si>
  <si>
    <t>Antipater of Tarsus</t>
  </si>
  <si>
    <t>Antipater of Tyre</t>
  </si>
  <si>
    <t>Antisthenes</t>
  </si>
  <si>
    <t>Apollodorus of Athens</t>
  </si>
  <si>
    <t>Apollodorus of Seleucia</t>
  </si>
  <si>
    <t>Apollodorus the Epicurean</t>
  </si>
  <si>
    <t>Apollonius Cronus</t>
  </si>
  <si>
    <t>Apollonius of Tyana</t>
  </si>
  <si>
    <t>Neopythagorean</t>
  </si>
  <si>
    <t>Apollonius of Tyre</t>
  </si>
  <si>
    <t>Archedemus of Tarsus</t>
  </si>
  <si>
    <t>Archelaus</t>
  </si>
  <si>
    <t>Archytas</t>
  </si>
  <si>
    <t>Arete of Cyrene</t>
  </si>
  <si>
    <t>Arignote</t>
  </si>
  <si>
    <t>6th / 5th century BC</t>
  </si>
  <si>
    <t>Aristippus</t>
  </si>
  <si>
    <t>Aristippus the Younger</t>
  </si>
  <si>
    <t>Aristo of Alexandria</t>
  </si>
  <si>
    <t>2nd /1st century BC</t>
  </si>
  <si>
    <t>Aristo of Ceos</t>
  </si>
  <si>
    <t>Aristo of Chios</t>
  </si>
  <si>
    <t>Aristoclea</t>
  </si>
  <si>
    <t>fl. 6th century BC</t>
  </si>
  <si>
    <t>Aristocles of Messene</t>
  </si>
  <si>
    <t>1st century AD?</t>
  </si>
  <si>
    <t>Aristocreon</t>
  </si>
  <si>
    <t>Aristotle of Cyrene</t>
  </si>
  <si>
    <t>Aristotle of Mytilene</t>
  </si>
  <si>
    <t>Aristoxenus</t>
  </si>
  <si>
    <t>Arius Didymus</t>
  </si>
  <si>
    <t>Asclepiades of Phlius</t>
  </si>
  <si>
    <t>Asclepiades the Cynic</t>
  </si>
  <si>
    <t>Aspasius</t>
  </si>
  <si>
    <t>Athenaeus of Seleucia</t>
  </si>
  <si>
    <t>Athenodoros Cananites</t>
  </si>
  <si>
    <t>Athenodoros Cordylion</t>
  </si>
  <si>
    <t>Athenodorus of Soli</t>
  </si>
  <si>
    <t>3rd century BC</t>
  </si>
  <si>
    <t>Attalus</t>
  </si>
  <si>
    <t>Batis of Lampsacus</t>
  </si>
  <si>
    <t>Boethus of Sidon</t>
  </si>
  <si>
    <t>Boethus of Sidon (Stoic)</t>
  </si>
  <si>
    <t>Bolus of Mendes</t>
  </si>
  <si>
    <t>fl. 3rd century BC</t>
  </si>
  <si>
    <t>Brontinus</t>
  </si>
  <si>
    <t>Bryson of Achaea</t>
  </si>
  <si>
    <t>fl. 330 BC</t>
  </si>
  <si>
    <t>Callicles</t>
  </si>
  <si>
    <t>5th century BCE</t>
  </si>
  <si>
    <t>Sophist?</t>
  </si>
  <si>
    <t>Calliphon</t>
  </si>
  <si>
    <t>Calliphon of Croton</t>
  </si>
  <si>
    <t>Callistratus</t>
  </si>
  <si>
    <t>fl. 3rd century AD</t>
  </si>
  <si>
    <t>Carneiscus</t>
  </si>
  <si>
    <t>c. 300 BC</t>
  </si>
  <si>
    <t>Cebes</t>
  </si>
  <si>
    <t>c. 430–350 BC</t>
  </si>
  <si>
    <t>Celsus</t>
  </si>
  <si>
    <t>2nd century</t>
  </si>
  <si>
    <t>Cercidas</t>
  </si>
  <si>
    <t>Cercops</t>
  </si>
  <si>
    <t>Chaerephon</t>
  </si>
  <si>
    <t>Chamaeleon</t>
  </si>
  <si>
    <t>350-275 B.C.</t>
  </si>
  <si>
    <t>Chrysanthius</t>
  </si>
  <si>
    <t>Chrysippus</t>
  </si>
  <si>
    <t>279-206 B.C.</t>
  </si>
  <si>
    <t>Cleanthes</t>
  </si>
  <si>
    <t>330-230 B.C.</t>
  </si>
  <si>
    <t>Clearchus of Soli</t>
  </si>
  <si>
    <t>4th-3rd century B.C. (fl. 320 B.C.)</t>
  </si>
  <si>
    <t>Cleinias of Tarentum</t>
  </si>
  <si>
    <t>4th century B.C.</t>
  </si>
  <si>
    <t>Cleomedes</t>
  </si>
  <si>
    <t>Cleomenes</t>
  </si>
  <si>
    <t>Clinomachus</t>
  </si>
  <si>
    <t>Colotes</t>
  </si>
  <si>
    <t>320-268 B.C.</t>
  </si>
  <si>
    <t>Crates of Mallus</t>
  </si>
  <si>
    <t>fl. 2nd century B.C.</t>
  </si>
  <si>
    <t>Crates of Thebes</t>
  </si>
  <si>
    <t>Cratippus of Pergamon</t>
  </si>
  <si>
    <t>Cratylus</t>
  </si>
  <si>
    <t>Ephesian</t>
  </si>
  <si>
    <t>Crescens the Cynic</t>
  </si>
  <si>
    <t>Crinis</t>
  </si>
  <si>
    <t>Critolaus</t>
  </si>
  <si>
    <t>Cronius</t>
  </si>
  <si>
    <t>fl. 2nd century A.D.</t>
  </si>
  <si>
    <t>Damis</t>
  </si>
  <si>
    <t>1st-2nd century A.D.</t>
  </si>
  <si>
    <t>Demetrius Lacon</t>
  </si>
  <si>
    <t>fl. late 2nd century B.C.</t>
  </si>
  <si>
    <t>Demetrius Phalereus</t>
  </si>
  <si>
    <t>Demetrius the Cynic</t>
  </si>
  <si>
    <t>Democrates</t>
  </si>
  <si>
    <t>Pythagorean?</t>
  </si>
  <si>
    <t>Democritus</t>
  </si>
  <si>
    <t>Presocratic, Atomist</t>
  </si>
  <si>
    <t>Demonax</t>
  </si>
  <si>
    <t>Diagoras of Melos</t>
  </si>
  <si>
    <t>Dicaearchus</t>
  </si>
  <si>
    <t>Dio Chrysostom</t>
  </si>
  <si>
    <t>Diodorus Cronus</t>
  </si>
  <si>
    <t>Diodorus of Aspendus</t>
  </si>
  <si>
    <t>Diodorus of Tyre</t>
  </si>
  <si>
    <t>Diodotus</t>
  </si>
  <si>
    <t>Diogenes of Apollonia</t>
  </si>
  <si>
    <t>Presocratic</t>
  </si>
  <si>
    <t>Diogenes of Babylon</t>
  </si>
  <si>
    <t>Diogenes of Oenoanda</t>
  </si>
  <si>
    <t>Diogenes of Seleucia</t>
  </si>
  <si>
    <t>Diogenes of Sinope</t>
  </si>
  <si>
    <t>Diogenes of Tarsus</t>
  </si>
  <si>
    <t>Dionysius of Chalcedon</t>
  </si>
  <si>
    <t>Dionysius of Cyrene</t>
  </si>
  <si>
    <t>Dionysius of Lamptrai</t>
  </si>
  <si>
    <t>Diotima of Mantinea</t>
  </si>
  <si>
    <t>Diotimus</t>
  </si>
  <si>
    <t>Echecrates</t>
  </si>
  <si>
    <t>Ecphantus</t>
  </si>
  <si>
    <t>Empedocles</t>
  </si>
  <si>
    <t>Presocratic, Pluralist</t>
  </si>
  <si>
    <t>Epicharmus of Kos</t>
  </si>
  <si>
    <t>Eubulides</t>
  </si>
  <si>
    <t>Euclid of Megara</t>
  </si>
  <si>
    <t>Eudemus of Rhodes</t>
  </si>
  <si>
    <t>Eudorus of Alexandria</t>
  </si>
  <si>
    <t>Euenus</t>
  </si>
  <si>
    <t>Euphantus</t>
  </si>
  <si>
    <t>Euphraeus</t>
  </si>
  <si>
    <t>Euphrates</t>
  </si>
  <si>
    <t>Eurytus</t>
  </si>
  <si>
    <t>Favorinus</t>
  </si>
  <si>
    <t>Geminus</t>
  </si>
  <si>
    <t>Hecataeus of Abdera</t>
  </si>
  <si>
    <t>Hecato of Rhodes</t>
  </si>
  <si>
    <t>Hegesias of Cyrene</t>
  </si>
  <si>
    <t>Heraclides Lembus</t>
  </si>
  <si>
    <t>Heraclius</t>
  </si>
  <si>
    <t>Herillus of Carthage</t>
  </si>
  <si>
    <t>Hermagoras of Amphipolis</t>
  </si>
  <si>
    <t>Hermarchus</t>
  </si>
  <si>
    <t>Herminus</t>
  </si>
  <si>
    <t>Hermippus of Smyrna</t>
  </si>
  <si>
    <t>Hermotimus of Clazomenae</t>
  </si>
  <si>
    <t>Hicetas</t>
  </si>
  <si>
    <t>Hierocles (Stoic)</t>
  </si>
  <si>
    <t>Hieronymus of Rhodes</t>
  </si>
  <si>
    <t>Himerius</t>
  </si>
  <si>
    <t>Hipparchia of Maroneia</t>
  </si>
  <si>
    <t>Hippasus</t>
  </si>
  <si>
    <t>Hippias</t>
  </si>
  <si>
    <t>Hippo</t>
  </si>
  <si>
    <t>Horus</t>
  </si>
  <si>
    <t>Ichthyas</t>
  </si>
  <si>
    <t>Idomeneus of Lampsacus</t>
  </si>
  <si>
    <t>Ion of Chios</t>
  </si>
  <si>
    <t>Jason of Nysa</t>
  </si>
  <si>
    <t>Leonteus of Lampsacus</t>
  </si>
  <si>
    <t>Leontion</t>
  </si>
  <si>
    <t>Leucippus</t>
  </si>
  <si>
    <t>Lyco of Iasos</t>
  </si>
  <si>
    <t>Lyco of Troas</t>
  </si>
  <si>
    <t>Lycophron</t>
  </si>
  <si>
    <t>Lysis of Taras</t>
  </si>
  <si>
    <t>Meleager of Gadara</t>
  </si>
  <si>
    <t>Melissus of Samos</t>
  </si>
  <si>
    <t>Menedemus</t>
  </si>
  <si>
    <t>Menedemus the Cynic</t>
  </si>
  <si>
    <t>Menippus</t>
  </si>
  <si>
    <t>Metrocles</t>
  </si>
  <si>
    <t>Metrodorus of Athens</t>
  </si>
  <si>
    <t>Metrodorus of Chios</t>
  </si>
  <si>
    <t>Metrodorus of Cos</t>
  </si>
  <si>
    <t>Metrodorus of Lampsacus (the elder)</t>
  </si>
  <si>
    <t>Metrodorus of Lampsacus (the younger)</t>
  </si>
  <si>
    <t>Mnesarchus of Athens</t>
  </si>
  <si>
    <t>Moderatus of Gades</t>
  </si>
  <si>
    <t>Monimus</t>
  </si>
  <si>
    <t>Myia</t>
  </si>
  <si>
    <t>Nausiphanes</t>
  </si>
  <si>
    <t>Nicarete of Megara</t>
  </si>
  <si>
    <t>Nicolaus of Damascus</t>
  </si>
  <si>
    <t>Nicomachus</t>
  </si>
  <si>
    <t>Nicomachus (son of Aristotle)</t>
  </si>
  <si>
    <t>Ocellus Lucanus</t>
  </si>
  <si>
    <t>Oenomaus of Gadara</t>
  </si>
  <si>
    <t>Olympiodorus the Elder</t>
  </si>
  <si>
    <t>Onatas</t>
  </si>
  <si>
    <t>Panaetius</t>
  </si>
  <si>
    <t>Pancrates of Athens</t>
  </si>
  <si>
    <t>Panthoides</t>
  </si>
  <si>
    <t>Pasicles of Thebes</t>
  </si>
  <si>
    <t>Patro the Epicurean</t>
  </si>
  <si>
    <t>Peregrinus Proteus</t>
  </si>
  <si>
    <t>Persaeus</t>
  </si>
  <si>
    <t>Phanias of Eresus</t>
  </si>
  <si>
    <t>Phanto of Phlius</t>
  </si>
  <si>
    <t>Philiscus of Aegina</t>
  </si>
  <si>
    <t>Philiscus of Thessaly</t>
  </si>
  <si>
    <t>Philo</t>
  </si>
  <si>
    <t>20 BC - 50 AD</t>
  </si>
  <si>
    <t>Philo the Dialectician</t>
  </si>
  <si>
    <t>Philodemus</t>
  </si>
  <si>
    <t>Philolaus</t>
  </si>
  <si>
    <t>Philonides of Laodicea</t>
  </si>
  <si>
    <t>Philostratus</t>
  </si>
  <si>
    <t>Phintys</t>
  </si>
  <si>
    <t>Polemarchus</t>
  </si>
  <si>
    <t>Polemon of Athens</t>
  </si>
  <si>
    <t>Polemon of Laodicea</t>
  </si>
  <si>
    <t>Polus</t>
  </si>
  <si>
    <t>Polyaenus of Lampsacus</t>
  </si>
  <si>
    <t>Polystratus</t>
  </si>
  <si>
    <t>Posidonius</t>
  </si>
  <si>
    <t>Potamo of Alexandria</t>
  </si>
  <si>
    <t>Eclecticism</t>
  </si>
  <si>
    <t>Praxiphanes</t>
  </si>
  <si>
    <t>Proclus Mallotes</t>
  </si>
  <si>
    <t>Proclus of Laodicea</t>
  </si>
  <si>
    <t>Prodicus</t>
  </si>
  <si>
    <t>Ptolemy-el-Garib</t>
  </si>
  <si>
    <t>Pythagoras</t>
  </si>
  <si>
    <t>Sallustius</t>
  </si>
  <si>
    <t>Sallustius of Emesa</t>
  </si>
  <si>
    <t>Satyrus</t>
  </si>
  <si>
    <t>Secundus the Silent</t>
  </si>
  <si>
    <t>Sextus Empiricus</t>
  </si>
  <si>
    <t>Sextus of Chaeronea</t>
  </si>
  <si>
    <t>Simmias of Thebes</t>
  </si>
  <si>
    <t>Simon the Shoemaker</t>
  </si>
  <si>
    <t>Siro</t>
  </si>
  <si>
    <t>Sosigenes</t>
  </si>
  <si>
    <t>Sotion</t>
  </si>
  <si>
    <t>Academic</t>
  </si>
  <si>
    <t>Sphaerus</t>
  </si>
  <si>
    <t>Stilpo</t>
  </si>
  <si>
    <t>Strato of Lampsacus</t>
  </si>
  <si>
    <t>Telauges</t>
  </si>
  <si>
    <t>died 167/166 BC</t>
  </si>
  <si>
    <t>Teles the Cynic</t>
  </si>
  <si>
    <t>Theagenes of Patras</t>
  </si>
  <si>
    <t>Theano</t>
  </si>
  <si>
    <t>Themista of Lampsacus</t>
  </si>
  <si>
    <t>Themistius</t>
  </si>
  <si>
    <t>Theodorus the Atheist</t>
  </si>
  <si>
    <t>Theon of Smyrna</t>
  </si>
  <si>
    <t>Theophrastus</t>
  </si>
  <si>
    <t>Thrasymachus</t>
  </si>
  <si>
    <t>Thrasymachus of Corinth</t>
  </si>
  <si>
    <t>Timaeus of Locri</t>
  </si>
  <si>
    <t>Timon</t>
  </si>
  <si>
    <t>Timycha</t>
  </si>
  <si>
    <t>Tisias</t>
  </si>
  <si>
    <t>Xenarchus of Seleucia</t>
  </si>
  <si>
    <t>Xeniades</t>
  </si>
  <si>
    <t>Xenophon</t>
  </si>
  <si>
    <t>Zeno of Tarsus</t>
  </si>
  <si>
    <t>fl. 200 B.C.</t>
  </si>
  <si>
    <t>Date of Birth and Death</t>
  </si>
  <si>
    <t>Neoplatonism</t>
  </si>
  <si>
    <t>~5th century AD</t>
  </si>
  <si>
    <t>Unknown</t>
  </si>
  <si>
    <t>~3rd century AD</t>
  </si>
  <si>
    <t>Platonism</t>
  </si>
  <si>
    <t>~2nd century AD</t>
  </si>
  <si>
    <t>Middle Platonism</t>
  </si>
  <si>
    <t>Gaius</t>
  </si>
  <si>
    <t>~4th-5th century AD</t>
  </si>
  <si>
    <t>435/445-517/526 AD</t>
  </si>
  <si>
    <t>~5th century BC</t>
  </si>
  <si>
    <t>3rd century AD</t>
  </si>
  <si>
    <t>~130-68 BC</t>
  </si>
  <si>
    <t>124-170 AD</t>
  </si>
  <si>
    <t>316/5-241/0 BC</t>
  </si>
  <si>
    <t>Platonism (Skepticism)</t>
  </si>
  <si>
    <t>Polemo</t>
  </si>
  <si>
    <t>5th century AD</t>
  </si>
  <si>
    <t>~1st century BC</t>
  </si>
  <si>
    <t>~110-180 AD</t>
  </si>
  <si>
    <t>354–430 AD</t>
  </si>
  <si>
    <t>Christianity</t>
  </si>
  <si>
    <t>Ambrose</t>
  </si>
  <si>
    <t>477–524 AD</t>
  </si>
  <si>
    <t>Christian Platonism</t>
  </si>
  <si>
    <t>Libanius and Aginatius</t>
  </si>
  <si>
    <t>Eudoxus</t>
  </si>
  <si>
    <t>214/213-129/8 BC</t>
  </si>
  <si>
    <t>213–273 AD</t>
  </si>
  <si>
    <t>Plotinus and Ammonius</t>
  </si>
  <si>
    <t>4th-3rd century BC</t>
  </si>
  <si>
    <t>4th–5th century AD</t>
  </si>
  <si>
    <t>150–215 AD</t>
  </si>
  <si>
    <t>Pantaenus</t>
  </si>
  <si>
    <t>187/6–110/09 BC</t>
  </si>
  <si>
    <t>Carneades</t>
  </si>
  <si>
    <t>4th–3rd century BC</t>
  </si>
  <si>
    <t>Xenocrates</t>
  </si>
  <si>
    <t>462–after 538 AD</t>
  </si>
  <si>
    <t>3rd–2nd century BC</t>
  </si>
  <si>
    <t>3rd–4th century AD</t>
  </si>
  <si>
    <t>5th–6th century AD</t>
  </si>
  <si>
    <t>390–337 BC</t>
  </si>
  <si>
    <t>390–310 BC</t>
  </si>
  <si>
    <t>5th–4th century BC</t>
  </si>
  <si>
    <t>350–370 AD–415 AD</t>
  </si>
  <si>
    <t>Theon of Alexandria</t>
  </si>
  <si>
    <t>245–325 AD</t>
  </si>
  <si>
    <t>495–570 AD</t>
  </si>
  <si>
    <t>184/5–253/4 AD</t>
  </si>
  <si>
    <t>Early Christian</t>
  </si>
  <si>
    <t>20 BC–50 AD</t>
  </si>
  <si>
    <t>Hellenistic Judaism</t>
  </si>
  <si>
    <t>159–84 BC</t>
  </si>
  <si>
    <t>427/428–348/347 BC</t>
  </si>
  <si>
    <t>Founded Platonism</t>
  </si>
  <si>
    <t>204/5–270 AD</t>
  </si>
  <si>
    <t>46–120 AD</t>
  </si>
  <si>
    <t>Ammonius</t>
  </si>
  <si>
    <t>350–432 AD</t>
  </si>
  <si>
    <t>234–305 AD</t>
  </si>
  <si>
    <t>412–485 AD</t>
  </si>
  <si>
    <t>490–560 AD</t>
  </si>
  <si>
    <t>407/6–339/8 BC</t>
  </si>
  <si>
    <t>373–414 AD</t>
  </si>
  <si>
    <t>Hypatia</t>
  </si>
  <si>
    <t>396/5–314/3 BC</t>
  </si>
  <si>
    <t>Dates</t>
  </si>
  <si>
    <t>Abrotelia</t>
  </si>
  <si>
    <t>Epicurus (possibly)</t>
  </si>
  <si>
    <t>Her husband, Hermias</t>
  </si>
  <si>
    <t>Pythagoreanism</t>
  </si>
  <si>
    <t>Aristippus (her father)</t>
  </si>
  <si>
    <t>Pythagoras (her father)</t>
  </si>
  <si>
    <t>Her father, Plutarch of Athens</t>
  </si>
  <si>
    <t>Aspasia</t>
  </si>
  <si>
    <t>Socratic (presumably)</t>
  </si>
  <si>
    <t>Hedonism</t>
  </si>
  <si>
    <t>Cleopatra the Alchemist</t>
  </si>
  <si>
    <t>Alchemy</t>
  </si>
  <si>
    <t>Mary the Jewess (possibly)</t>
  </si>
  <si>
    <t>Damo (philosopher)</t>
  </si>
  <si>
    <t>Unknown (mythical/real?)</t>
  </si>
  <si>
    <t>Cynicism</t>
  </si>
  <si>
    <t>Crates of Thebes (her husband)</t>
  </si>
  <si>
    <t>350-415 AD</t>
  </si>
  <si>
    <t>Her father, Theon of Alexandria</t>
  </si>
  <si>
    <t>Melissa (philosopher)</t>
  </si>
  <si>
    <t>Myro of Rhodes</t>
  </si>
  <si>
    <t>Stoicism</t>
  </si>
  <si>
    <t>Eucleides (possibly)</t>
  </si>
  <si>
    <t>Nikidion</t>
  </si>
  <si>
    <t>Perictione</t>
  </si>
  <si>
    <t>5th-4th century BC</t>
  </si>
  <si>
    <t>Ptolemais of Cyrene</t>
  </si>
  <si>
    <t>3rd-2nd century BC</t>
  </si>
  <si>
    <t>Andronicus of Rhodes (possibly)</t>
  </si>
  <si>
    <t>Sosipatra</t>
  </si>
  <si>
    <t>Theano (philosopher)</t>
  </si>
  <si>
    <t>Pythagoras (her husband)</t>
  </si>
  <si>
    <t>Themistoclea</t>
  </si>
  <si>
    <t>Delphic Oracle</t>
  </si>
  <si>
    <t>Pythagoras (her student)</t>
  </si>
  <si>
    <t>Theodora of Emesa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</si>
</sst>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sz val="9.0"/>
      <color rgb="FF000000"/>
      <name val="&quot;Google Sans Mono&quot;"/>
    </font>
    <font>
      <color rgb="FF374151"/>
      <name val="Söhne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CECF1"/>
        <bgColor rgb="FFECECF1"/>
      </patternFill>
    </fill>
    <fill>
      <patternFill patternType="solid">
        <fgColor rgb="FFF7F7F8"/>
        <bgColor rgb="FFF7F7F8"/>
      </patternFill>
    </fill>
  </fills>
  <borders count="5">
    <border/>
    <border>
      <left style="thin">
        <color rgb="FFD9D9E3"/>
      </left>
      <top style="thin">
        <color rgb="FFD9D9E3"/>
      </top>
      <bottom style="thin">
        <color rgb="FFD9D9E3"/>
      </bottom>
    </border>
    <border>
      <bottom style="thin">
        <color rgb="FF000000"/>
      </bottom>
    </border>
    <border>
      <left style="thin">
        <color rgb="FFD9D9E3"/>
      </left>
      <bottom style="thin">
        <color rgb="FFD9D9E3"/>
      </bottom>
    </border>
    <border>
      <left style="thin">
        <color rgb="FFD9D9E3"/>
      </left>
      <right style="thin">
        <color rgb="FFD9D9E3"/>
      </right>
      <bottom style="thin">
        <color rgb="FFD9D9E3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0" fontId="1" numFmtId="0" xfId="0" applyFont="1"/>
    <xf borderId="0" fillId="2" fontId="3" numFmtId="0" xfId="0" applyAlignment="1" applyFont="1">
      <alignment horizontal="left"/>
    </xf>
    <xf borderId="1" fillId="3" fontId="4" numFmtId="0" xfId="0" applyAlignment="1" applyBorder="1" applyFill="1" applyFont="1">
      <alignment horizontal="center" readingOrder="0" vertical="bottom"/>
    </xf>
    <xf borderId="2" fillId="3" fontId="4" numFmtId="0" xfId="0" applyAlignment="1" applyBorder="1" applyFont="1">
      <alignment horizontal="center" readingOrder="0" vertical="bottom"/>
    </xf>
    <xf borderId="3" fillId="4" fontId="4" numFmtId="0" xfId="0" applyAlignment="1" applyBorder="1" applyFill="1" applyFont="1">
      <alignment horizontal="left" readingOrder="0"/>
    </xf>
    <xf borderId="4" fillId="4" fontId="4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714375</xdr:colOff>
      <xdr:row>21</xdr:row>
      <xdr:rowOff>400050</xdr:rowOff>
    </xdr:from>
    <xdr:ext cx="8896350" cy="5229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8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1</v>
      </c>
    </row>
    <row r="3">
      <c r="A3" s="1" t="s">
        <v>3</v>
      </c>
      <c r="B3" s="2" t="s">
        <v>1</v>
      </c>
    </row>
    <row r="4">
      <c r="A4" s="1" t="s">
        <v>4</v>
      </c>
      <c r="B4" s="2" t="s">
        <v>1</v>
      </c>
    </row>
    <row r="5">
      <c r="A5" s="1" t="s">
        <v>5</v>
      </c>
      <c r="B5" s="2" t="s">
        <v>1</v>
      </c>
    </row>
    <row r="6">
      <c r="A6" s="1" t="s">
        <v>6</v>
      </c>
      <c r="B6" s="2" t="s">
        <v>1</v>
      </c>
    </row>
    <row r="7">
      <c r="A7" s="1" t="s">
        <v>7</v>
      </c>
      <c r="B7" s="2" t="s">
        <v>1</v>
      </c>
    </row>
    <row r="8">
      <c r="A8" s="1" t="s">
        <v>8</v>
      </c>
      <c r="B8" s="2" t="s">
        <v>1</v>
      </c>
    </row>
    <row r="9">
      <c r="A9" s="1" t="s">
        <v>9</v>
      </c>
      <c r="B9" s="2" t="s">
        <v>1</v>
      </c>
    </row>
    <row r="10">
      <c r="A10" s="1" t="s">
        <v>10</v>
      </c>
      <c r="B10" s="2" t="s">
        <v>1</v>
      </c>
    </row>
    <row r="11">
      <c r="A11" s="1" t="s">
        <v>11</v>
      </c>
      <c r="B11" s="2" t="s">
        <v>1</v>
      </c>
    </row>
    <row r="12">
      <c r="A12" s="1" t="s">
        <v>12</v>
      </c>
      <c r="B12" s="2" t="s">
        <v>1</v>
      </c>
    </row>
    <row r="13">
      <c r="A13" s="1" t="s">
        <v>13</v>
      </c>
      <c r="B13" s="2" t="s">
        <v>1</v>
      </c>
    </row>
    <row r="14">
      <c r="A14" s="1" t="s">
        <v>14</v>
      </c>
      <c r="B14" s="2" t="s">
        <v>1</v>
      </c>
    </row>
    <row r="15">
      <c r="A15" s="1" t="s">
        <v>15</v>
      </c>
      <c r="B15" s="2" t="s">
        <v>1</v>
      </c>
    </row>
    <row r="16">
      <c r="A16" s="1" t="s">
        <v>16</v>
      </c>
      <c r="B16" s="2" t="s">
        <v>1</v>
      </c>
    </row>
    <row r="17">
      <c r="A17" s="1" t="s">
        <v>17</v>
      </c>
      <c r="B17" s="2" t="s">
        <v>1</v>
      </c>
    </row>
    <row r="18">
      <c r="A18" s="1" t="s">
        <v>18</v>
      </c>
      <c r="B18" s="2" t="s">
        <v>1</v>
      </c>
    </row>
    <row r="20">
      <c r="A20" s="1" t="s">
        <v>19</v>
      </c>
      <c r="B20" s="2" t="s">
        <v>20</v>
      </c>
    </row>
    <row r="21">
      <c r="A21" s="1" t="s">
        <v>21</v>
      </c>
      <c r="B21" s="2" t="s">
        <v>20</v>
      </c>
    </row>
    <row r="22">
      <c r="A22" s="1" t="s">
        <v>22</v>
      </c>
      <c r="B22" s="2" t="s">
        <v>20</v>
      </c>
    </row>
    <row r="23">
      <c r="A23" s="1" t="s">
        <v>23</v>
      </c>
      <c r="B23" s="2" t="s">
        <v>20</v>
      </c>
    </row>
    <row r="24">
      <c r="A24" s="1" t="s">
        <v>24</v>
      </c>
      <c r="B24" s="2" t="s">
        <v>20</v>
      </c>
    </row>
    <row r="25">
      <c r="A25" s="1" t="s">
        <v>25</v>
      </c>
      <c r="B25" s="2" t="s">
        <v>20</v>
      </c>
    </row>
    <row r="27">
      <c r="A27" s="1" t="s">
        <v>26</v>
      </c>
      <c r="B27" s="2" t="s">
        <v>27</v>
      </c>
    </row>
    <row r="28">
      <c r="A28" s="1" t="s">
        <v>28</v>
      </c>
      <c r="B28" s="3" t="s">
        <v>27</v>
      </c>
    </row>
    <row r="29">
      <c r="A29" s="1" t="s">
        <v>29</v>
      </c>
      <c r="B29" s="3" t="s">
        <v>27</v>
      </c>
    </row>
    <row r="30">
      <c r="A30" s="1" t="s">
        <v>30</v>
      </c>
      <c r="B30" s="3" t="s">
        <v>27</v>
      </c>
    </row>
    <row r="31">
      <c r="A31" s="1" t="s">
        <v>31</v>
      </c>
      <c r="B31" s="3" t="s">
        <v>27</v>
      </c>
    </row>
    <row r="33">
      <c r="A33" s="1" t="s">
        <v>32</v>
      </c>
      <c r="B33" s="2" t="s">
        <v>33</v>
      </c>
    </row>
    <row r="34">
      <c r="A34" s="1" t="s">
        <v>34</v>
      </c>
      <c r="B34" s="2" t="s">
        <v>33</v>
      </c>
    </row>
    <row r="35">
      <c r="A35" s="1" t="s">
        <v>35</v>
      </c>
      <c r="B35" s="2" t="s">
        <v>33</v>
      </c>
    </row>
    <row r="37">
      <c r="A37" s="1" t="s">
        <v>36</v>
      </c>
      <c r="B37" s="2" t="s">
        <v>37</v>
      </c>
    </row>
    <row r="38">
      <c r="A38" s="1" t="s">
        <v>38</v>
      </c>
      <c r="B38" s="2" t="s">
        <v>37</v>
      </c>
    </row>
    <row r="39">
      <c r="A39" s="1" t="s">
        <v>39</v>
      </c>
      <c r="B39" s="2" t="s">
        <v>37</v>
      </c>
    </row>
    <row r="40">
      <c r="A40" s="1" t="s">
        <v>40</v>
      </c>
      <c r="B40" s="2" t="s">
        <v>37</v>
      </c>
    </row>
    <row r="41">
      <c r="A41" s="1" t="s">
        <v>41</v>
      </c>
      <c r="B41" s="2" t="s">
        <v>37</v>
      </c>
    </row>
    <row r="42">
      <c r="A42" s="1" t="s">
        <v>42</v>
      </c>
      <c r="B42" s="2" t="s">
        <v>37</v>
      </c>
    </row>
    <row r="43">
      <c r="A43" s="1" t="s">
        <v>43</v>
      </c>
      <c r="B43" s="2" t="s">
        <v>37</v>
      </c>
    </row>
    <row r="45">
      <c r="A45" s="1" t="s">
        <v>44</v>
      </c>
      <c r="B45" s="2" t="s">
        <v>45</v>
      </c>
    </row>
    <row r="46">
      <c r="A46" s="1" t="s">
        <v>46</v>
      </c>
      <c r="B46" s="2" t="s">
        <v>45</v>
      </c>
    </row>
    <row r="47">
      <c r="A47" s="1" t="s">
        <v>47</v>
      </c>
      <c r="B47" s="2" t="s">
        <v>45</v>
      </c>
    </row>
    <row r="49">
      <c r="A49" s="1" t="s">
        <v>48</v>
      </c>
      <c r="B49" s="2" t="s">
        <v>49</v>
      </c>
    </row>
    <row r="50">
      <c r="A50" s="1" t="s">
        <v>50</v>
      </c>
      <c r="B50" s="2" t="s">
        <v>49</v>
      </c>
    </row>
    <row r="51">
      <c r="A51" s="1" t="s">
        <v>51</v>
      </c>
      <c r="B51" s="2" t="s">
        <v>49</v>
      </c>
    </row>
    <row r="54">
      <c r="B5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88"/>
    <col customWidth="1" min="2" max="2" width="28.0"/>
    <col customWidth="1" min="3" max="3" width="57.63"/>
  </cols>
  <sheetData>
    <row r="1">
      <c r="A1" s="4" t="s">
        <v>52</v>
      </c>
      <c r="B1" s="4" t="s">
        <v>53</v>
      </c>
      <c r="C1" s="2" t="s">
        <v>54</v>
      </c>
      <c r="D1" s="4" t="s">
        <v>55</v>
      </c>
      <c r="E1" s="2" t="s">
        <v>56</v>
      </c>
      <c r="F1" s="2" t="s">
        <v>57</v>
      </c>
    </row>
    <row r="2">
      <c r="A2" s="4" t="s">
        <v>58</v>
      </c>
      <c r="B2" s="4" t="s">
        <v>59</v>
      </c>
      <c r="C2" s="4" t="str">
        <f t="shared" ref="C2:C46" si="1">GPT("Who was the teacher or teachers of", A2)</f>
        <v>[GPT ERROR] Error: The model "gpt-3.5-turbo" is disabled in this space.</v>
      </c>
      <c r="D2" s="4" t="s">
        <v>60</v>
      </c>
      <c r="E2" s="2" t="s">
        <v>61</v>
      </c>
      <c r="F2" s="4" t="s">
        <v>62</v>
      </c>
    </row>
    <row r="3">
      <c r="A3" s="4" t="s">
        <v>63</v>
      </c>
      <c r="B3" s="4" t="s">
        <v>64</v>
      </c>
      <c r="C3" s="4" t="str">
        <f t="shared" si="1"/>
        <v>[GPT ERROR] Error: The model "gpt-3.5-turbo" is disabled in this space.</v>
      </c>
      <c r="D3" s="4" t="s">
        <v>60</v>
      </c>
      <c r="E3" s="2" t="s">
        <v>61</v>
      </c>
      <c r="F3" s="4" t="s">
        <v>65</v>
      </c>
    </row>
    <row r="4">
      <c r="A4" s="4" t="s">
        <v>66</v>
      </c>
      <c r="B4" s="4" t="s">
        <v>67</v>
      </c>
      <c r="C4" s="4" t="str">
        <f t="shared" si="1"/>
        <v>[GPT ERROR] Error: The model "gpt-3.5-turbo" is disabled in this space.</v>
      </c>
      <c r="D4" s="4" t="s">
        <v>68</v>
      </c>
      <c r="E4" s="2" t="s">
        <v>61</v>
      </c>
      <c r="F4" s="4" t="s">
        <v>69</v>
      </c>
    </row>
    <row r="5">
      <c r="A5" s="4" t="s">
        <v>70</v>
      </c>
      <c r="B5" s="4" t="s">
        <v>71</v>
      </c>
      <c r="C5" s="4" t="str">
        <f t="shared" si="1"/>
        <v>[GPT ERROR] Error: The model "gpt-3.5-turbo" is disabled in this space.</v>
      </c>
      <c r="D5" s="4" t="s">
        <v>72</v>
      </c>
      <c r="E5" s="2" t="s">
        <v>61</v>
      </c>
      <c r="F5" s="4" t="s">
        <v>73</v>
      </c>
    </row>
    <row r="6">
      <c r="A6" s="4" t="s">
        <v>74</v>
      </c>
      <c r="B6" s="4" t="s">
        <v>75</v>
      </c>
      <c r="C6" s="4" t="str">
        <f t="shared" si="1"/>
        <v>[GPT ERROR] Error: The model "gpt-3.5-turbo" is disabled in this space.</v>
      </c>
      <c r="D6" s="4" t="s">
        <v>68</v>
      </c>
      <c r="E6" s="2" t="s">
        <v>61</v>
      </c>
      <c r="F6" s="4" t="s">
        <v>76</v>
      </c>
    </row>
    <row r="7">
      <c r="A7" s="4" t="s">
        <v>77</v>
      </c>
      <c r="B7" s="4" t="s">
        <v>78</v>
      </c>
      <c r="C7" s="4" t="str">
        <f t="shared" si="1"/>
        <v>[GPT ERROR] Error: The model "gpt-3.5-turbo" is disabled in this space.</v>
      </c>
      <c r="D7" s="4" t="s">
        <v>79</v>
      </c>
      <c r="E7" s="2" t="s">
        <v>61</v>
      </c>
    </row>
    <row r="8">
      <c r="A8" s="4" t="s">
        <v>80</v>
      </c>
      <c r="B8" s="4" t="s">
        <v>81</v>
      </c>
      <c r="C8" s="4" t="str">
        <f t="shared" si="1"/>
        <v>[GPT ERROR] Error: The model "gpt-3.5-turbo" is disabled in this space.</v>
      </c>
      <c r="D8" s="4" t="s">
        <v>79</v>
      </c>
      <c r="E8" s="2" t="s">
        <v>61</v>
      </c>
    </row>
    <row r="9">
      <c r="A9" s="4" t="s">
        <v>82</v>
      </c>
      <c r="B9" s="4" t="s">
        <v>83</v>
      </c>
      <c r="C9" s="4" t="str">
        <f t="shared" si="1"/>
        <v>[GPT ERROR] Error: The model "gpt-3.5-turbo" is disabled in this space.</v>
      </c>
      <c r="D9" s="4" t="s">
        <v>68</v>
      </c>
      <c r="E9" s="2" t="s">
        <v>61</v>
      </c>
    </row>
    <row r="10">
      <c r="A10" s="4" t="s">
        <v>84</v>
      </c>
      <c r="B10" s="4" t="s">
        <v>85</v>
      </c>
      <c r="C10" s="4" t="str">
        <f t="shared" si="1"/>
        <v>[GPT ERROR] Error: The model "gpt-3.5-turbo" is disabled in this space.</v>
      </c>
      <c r="D10" s="4" t="s">
        <v>68</v>
      </c>
      <c r="E10" s="2" t="s">
        <v>61</v>
      </c>
      <c r="F10" s="4" t="s">
        <v>86</v>
      </c>
    </row>
    <row r="11">
      <c r="A11" s="4" t="s">
        <v>87</v>
      </c>
      <c r="B11" s="4" t="s">
        <v>88</v>
      </c>
      <c r="C11" s="4" t="str">
        <f t="shared" si="1"/>
        <v>[GPT ERROR] Error: The model "gpt-3.5-turbo" is disabled in this space.</v>
      </c>
      <c r="D11" s="4" t="s">
        <v>68</v>
      </c>
      <c r="E11" s="2" t="s">
        <v>61</v>
      </c>
    </row>
    <row r="12">
      <c r="A12" s="4" t="s">
        <v>89</v>
      </c>
      <c r="B12" s="4" t="s">
        <v>90</v>
      </c>
      <c r="C12" s="4" t="str">
        <f t="shared" si="1"/>
        <v>[GPT ERROR] Error: The model "gpt-3.5-turbo" is disabled in this space.</v>
      </c>
      <c r="D12" s="4" t="s">
        <v>79</v>
      </c>
      <c r="E12" s="2" t="s">
        <v>61</v>
      </c>
      <c r="F12" s="4" t="s">
        <v>91</v>
      </c>
    </row>
    <row r="13">
      <c r="A13" s="4" t="s">
        <v>92</v>
      </c>
      <c r="B13" s="4" t="s">
        <v>93</v>
      </c>
      <c r="C13" s="4" t="str">
        <f t="shared" si="1"/>
        <v>[GPT ERROR] Error: The model "gpt-3.5-turbo" is disabled in this space.</v>
      </c>
      <c r="D13" s="4" t="s">
        <v>79</v>
      </c>
      <c r="E13" s="2" t="s">
        <v>61</v>
      </c>
    </row>
    <row r="14">
      <c r="A14" s="4" t="s">
        <v>94</v>
      </c>
      <c r="B14" s="4" t="s">
        <v>95</v>
      </c>
      <c r="C14" s="4" t="str">
        <f t="shared" si="1"/>
        <v>[GPT ERROR] Error: The model "gpt-3.5-turbo" is disabled in this space.</v>
      </c>
      <c r="D14" s="4" t="s">
        <v>68</v>
      </c>
      <c r="E14" s="2" t="s">
        <v>61</v>
      </c>
    </row>
    <row r="15">
      <c r="A15" s="4" t="s">
        <v>96</v>
      </c>
      <c r="B15" s="4" t="s">
        <v>97</v>
      </c>
      <c r="C15" s="4" t="str">
        <f t="shared" si="1"/>
        <v>[GPT ERROR] Error: The model "gpt-3.5-turbo" is disabled in this space.</v>
      </c>
      <c r="D15" s="4" t="s">
        <v>79</v>
      </c>
      <c r="E15" s="2" t="s">
        <v>61</v>
      </c>
    </row>
    <row r="16">
      <c r="A16" s="4" t="s">
        <v>98</v>
      </c>
      <c r="B16" s="4" t="s">
        <v>99</v>
      </c>
      <c r="C16" s="4" t="str">
        <f t="shared" si="1"/>
        <v>[GPT ERROR] Error: The model "gpt-3.5-turbo" is disabled in this space.</v>
      </c>
      <c r="D16" s="4" t="s">
        <v>100</v>
      </c>
      <c r="E16" s="2" t="s">
        <v>61</v>
      </c>
    </row>
    <row r="17">
      <c r="A17" s="4" t="s">
        <v>101</v>
      </c>
      <c r="B17" s="4" t="s">
        <v>102</v>
      </c>
      <c r="C17" s="4" t="str">
        <f t="shared" si="1"/>
        <v>[GPT ERROR] Error: The model "gpt-3.5-turbo" is disabled in this space.</v>
      </c>
      <c r="D17" s="4" t="s">
        <v>103</v>
      </c>
      <c r="E17" s="2" t="s">
        <v>61</v>
      </c>
    </row>
    <row r="18">
      <c r="A18" s="4" t="s">
        <v>104</v>
      </c>
      <c r="B18" s="4" t="s">
        <v>105</v>
      </c>
      <c r="C18" s="4" t="str">
        <f t="shared" si="1"/>
        <v>[GPT ERROR] Error: The model "gpt-3.5-turbo" is disabled in this space.</v>
      </c>
      <c r="D18" s="4" t="s">
        <v>68</v>
      </c>
      <c r="E18" s="2" t="s">
        <v>61</v>
      </c>
    </row>
    <row r="19">
      <c r="A19" s="4" t="s">
        <v>106</v>
      </c>
      <c r="B19" s="4" t="s">
        <v>107</v>
      </c>
      <c r="C19" s="4" t="str">
        <f t="shared" si="1"/>
        <v>[GPT ERROR] Error: The model "gpt-3.5-turbo" is disabled in this space.</v>
      </c>
      <c r="D19" s="4" t="s">
        <v>68</v>
      </c>
      <c r="E19" s="2" t="s">
        <v>61</v>
      </c>
    </row>
    <row r="20">
      <c r="A20" s="4" t="s">
        <v>108</v>
      </c>
      <c r="B20" s="4" t="s">
        <v>109</v>
      </c>
      <c r="C20" s="4" t="str">
        <f t="shared" si="1"/>
        <v>[GPT ERROR] Error: The model "gpt-3.5-turbo" is disabled in this space.</v>
      </c>
      <c r="D20" s="4" t="s">
        <v>79</v>
      </c>
      <c r="E20" s="2" t="s">
        <v>61</v>
      </c>
    </row>
    <row r="21">
      <c r="A21" s="4" t="s">
        <v>110</v>
      </c>
      <c r="B21" s="4" t="s">
        <v>111</v>
      </c>
      <c r="C21" s="4" t="str">
        <f t="shared" si="1"/>
        <v>[GPT ERROR] Error: The model "gpt-3.5-turbo" is disabled in this space.</v>
      </c>
      <c r="D21" s="4" t="s">
        <v>68</v>
      </c>
      <c r="E21" s="2" t="s">
        <v>61</v>
      </c>
    </row>
    <row r="22">
      <c r="A22" s="4" t="s">
        <v>112</v>
      </c>
      <c r="B22" s="4" t="s">
        <v>102</v>
      </c>
      <c r="C22" s="4" t="str">
        <f t="shared" si="1"/>
        <v>[GPT ERROR] Error: The model "gpt-3.5-turbo" is disabled in this space.</v>
      </c>
      <c r="D22" s="4" t="s">
        <v>103</v>
      </c>
      <c r="E22" s="2" t="s">
        <v>61</v>
      </c>
    </row>
    <row r="23">
      <c r="A23" s="4" t="s">
        <v>113</v>
      </c>
      <c r="B23" s="4" t="s">
        <v>114</v>
      </c>
      <c r="C23" s="4" t="str">
        <f t="shared" si="1"/>
        <v>[GPT ERROR] Error: The model "gpt-3.5-turbo" is disabled in this space.</v>
      </c>
      <c r="D23" s="4" t="s">
        <v>68</v>
      </c>
      <c r="E23" s="2" t="s">
        <v>61</v>
      </c>
      <c r="F23" s="4" t="str">
        <f t="shared" ref="F23:F51" si="2">GPT("In two sentences describe the philosophy of", A23)</f>
        <v>[GPT ERROR] Error: The model "gpt-3.5-turbo" is disabled in this space.</v>
      </c>
    </row>
    <row r="24">
      <c r="A24" s="4" t="s">
        <v>115</v>
      </c>
      <c r="B24" s="4" t="s">
        <v>116</v>
      </c>
      <c r="C24" s="4" t="str">
        <f t="shared" si="1"/>
        <v>[GPT ERROR] Error: The model "gpt-3.5-turbo" is disabled in this space.</v>
      </c>
      <c r="D24" s="4" t="s">
        <v>103</v>
      </c>
      <c r="E24" s="2" t="s">
        <v>61</v>
      </c>
      <c r="F24" s="4" t="str">
        <f t="shared" si="2"/>
        <v>[GPT ERROR] Error: The model "gpt-3.5-turbo" is disabled in this space.</v>
      </c>
    </row>
    <row r="25">
      <c r="A25" s="4" t="s">
        <v>117</v>
      </c>
      <c r="B25" s="4" t="s">
        <v>118</v>
      </c>
      <c r="C25" s="4" t="str">
        <f t="shared" si="1"/>
        <v>[GPT ERROR] Error: The model "gpt-3.5-turbo" is disabled in this space.</v>
      </c>
      <c r="D25" s="4" t="s">
        <v>72</v>
      </c>
      <c r="E25" s="2" t="s">
        <v>61</v>
      </c>
      <c r="F25" s="4" t="str">
        <f t="shared" si="2"/>
        <v>[GPT ERROR] Error: The model "gpt-3.5-turbo" is disabled in this space.</v>
      </c>
    </row>
    <row r="26">
      <c r="A26" s="4" t="s">
        <v>119</v>
      </c>
      <c r="B26" s="4" t="s">
        <v>120</v>
      </c>
      <c r="C26" s="4" t="str">
        <f t="shared" si="1"/>
        <v>[GPT ERROR] Error: The model "gpt-3.5-turbo" is disabled in this space.</v>
      </c>
      <c r="D26" s="4" t="s">
        <v>79</v>
      </c>
      <c r="E26" s="2" t="s">
        <v>61</v>
      </c>
      <c r="F26" s="4" t="str">
        <f t="shared" si="2"/>
        <v>[GPT ERROR] Error: The model "gpt-3.5-turbo" is disabled in this space.</v>
      </c>
    </row>
    <row r="27">
      <c r="A27" s="4" t="s">
        <v>121</v>
      </c>
      <c r="B27" s="4" t="s">
        <v>102</v>
      </c>
      <c r="C27" s="4" t="str">
        <f t="shared" si="1"/>
        <v>[GPT ERROR] Error: The model "gpt-3.5-turbo" is disabled in this space.</v>
      </c>
      <c r="D27" s="4" t="s">
        <v>103</v>
      </c>
      <c r="E27" s="2" t="s">
        <v>61</v>
      </c>
      <c r="F27" s="4" t="str">
        <f t="shared" si="2"/>
        <v>[GPT ERROR] Error: The model "gpt-3.5-turbo" is disabled in this space.</v>
      </c>
    </row>
    <row r="28">
      <c r="A28" s="4" t="s">
        <v>122</v>
      </c>
      <c r="B28" s="4" t="s">
        <v>123</v>
      </c>
      <c r="C28" s="4" t="str">
        <f t="shared" si="1"/>
        <v>[GPT ERROR] Error: The model "gpt-3.5-turbo" is disabled in this space.</v>
      </c>
      <c r="D28" s="4" t="s">
        <v>72</v>
      </c>
      <c r="E28" s="2" t="s">
        <v>61</v>
      </c>
      <c r="F28" s="4" t="str">
        <f t="shared" si="2"/>
        <v>[GPT ERROR] Error: The model "gpt-3.5-turbo" is disabled in this space.</v>
      </c>
    </row>
    <row r="29">
      <c r="A29" s="4" t="s">
        <v>124</v>
      </c>
      <c r="B29" s="4" t="s">
        <v>95</v>
      </c>
      <c r="C29" s="4" t="str">
        <f t="shared" si="1"/>
        <v>[GPT ERROR] Error: The model "gpt-3.5-turbo" is disabled in this space.</v>
      </c>
      <c r="D29" s="4" t="s">
        <v>68</v>
      </c>
      <c r="E29" s="2" t="s">
        <v>61</v>
      </c>
      <c r="F29" s="4" t="str">
        <f t="shared" si="2"/>
        <v>[GPT ERROR] Error: The model "gpt-3.5-turbo" is disabled in this space.</v>
      </c>
    </row>
    <row r="30">
      <c r="A30" s="4" t="s">
        <v>125</v>
      </c>
      <c r="B30" s="4" t="s">
        <v>126</v>
      </c>
      <c r="C30" s="4" t="str">
        <f t="shared" si="1"/>
        <v>[GPT ERROR] Error: The model "gpt-3.5-turbo" is disabled in this space.</v>
      </c>
      <c r="D30" s="4" t="s">
        <v>79</v>
      </c>
      <c r="E30" s="2" t="s">
        <v>61</v>
      </c>
      <c r="F30" s="4" t="str">
        <f t="shared" si="2"/>
        <v>[GPT ERROR] Error: The model "gpt-3.5-turbo" is disabled in this space.</v>
      </c>
    </row>
    <row r="31">
      <c r="A31" s="4" t="s">
        <v>127</v>
      </c>
      <c r="B31" s="4" t="s">
        <v>128</v>
      </c>
      <c r="C31" s="4" t="str">
        <f t="shared" si="1"/>
        <v>[GPT ERROR] Error: The model "gpt-3.5-turbo" is disabled in this space.</v>
      </c>
      <c r="D31" s="4" t="s">
        <v>72</v>
      </c>
      <c r="E31" s="2" t="s">
        <v>61</v>
      </c>
      <c r="F31" s="4" t="str">
        <f t="shared" si="2"/>
        <v>[GPT ERROR] Error: The model "gpt-3.5-turbo" is disabled in this space.</v>
      </c>
    </row>
    <row r="32">
      <c r="A32" s="4" t="s">
        <v>129</v>
      </c>
      <c r="B32" s="4" t="s">
        <v>102</v>
      </c>
      <c r="C32" s="4" t="str">
        <f t="shared" si="1"/>
        <v>[GPT ERROR] Error: The model "gpt-3.5-turbo" is disabled in this space.</v>
      </c>
      <c r="D32" s="4" t="s">
        <v>103</v>
      </c>
      <c r="E32" s="2" t="s">
        <v>61</v>
      </c>
      <c r="F32" s="4" t="str">
        <f t="shared" si="2"/>
        <v>[GPT ERROR] Error: The model "gpt-3.5-turbo" is disabled in this space.</v>
      </c>
    </row>
    <row r="33">
      <c r="A33" s="4" t="s">
        <v>130</v>
      </c>
      <c r="B33" s="4" t="s">
        <v>131</v>
      </c>
      <c r="C33" s="4" t="str">
        <f t="shared" si="1"/>
        <v>[GPT ERROR] Error: The model "gpt-3.5-turbo" is disabled in this space.</v>
      </c>
      <c r="D33" s="4" t="s">
        <v>103</v>
      </c>
      <c r="E33" s="2" t="s">
        <v>61</v>
      </c>
      <c r="F33" s="4" t="str">
        <f t="shared" si="2"/>
        <v>[GPT ERROR] Error: The model "gpt-3.5-turbo" is disabled in this space.</v>
      </c>
    </row>
    <row r="34">
      <c r="A34" s="4" t="s">
        <v>132</v>
      </c>
      <c r="B34" s="4" t="s">
        <v>133</v>
      </c>
      <c r="C34" s="4" t="str">
        <f t="shared" si="1"/>
        <v>[GPT ERROR] Error: The model "gpt-3.5-turbo" is disabled in this space.</v>
      </c>
      <c r="D34" s="4" t="s">
        <v>103</v>
      </c>
      <c r="E34" s="2" t="s">
        <v>61</v>
      </c>
      <c r="F34" s="4" t="str">
        <f t="shared" si="2"/>
        <v>[GPT ERROR] Error: The model "gpt-3.5-turbo" is disabled in this space.</v>
      </c>
    </row>
    <row r="35">
      <c r="A35" s="4" t="s">
        <v>134</v>
      </c>
      <c r="B35" s="4" t="s">
        <v>135</v>
      </c>
      <c r="C35" s="4" t="str">
        <f t="shared" si="1"/>
        <v>[GPT ERROR] Error: The model "gpt-3.5-turbo" is disabled in this space.</v>
      </c>
      <c r="D35" s="4" t="s">
        <v>68</v>
      </c>
      <c r="E35" s="2" t="s">
        <v>61</v>
      </c>
      <c r="F35" s="4" t="str">
        <f t="shared" si="2"/>
        <v>[GPT ERROR] Error: The model "gpt-3.5-turbo" is disabled in this space.</v>
      </c>
    </row>
    <row r="36">
      <c r="A36" s="4" t="s">
        <v>136</v>
      </c>
      <c r="B36" s="4" t="s">
        <v>102</v>
      </c>
      <c r="C36" s="4" t="str">
        <f t="shared" si="1"/>
        <v>[GPT ERROR] Error: The model "gpt-3.5-turbo" is disabled in this space.</v>
      </c>
      <c r="D36" s="4" t="s">
        <v>103</v>
      </c>
      <c r="E36" s="2" t="s">
        <v>61</v>
      </c>
      <c r="F36" s="4" t="str">
        <f t="shared" si="2"/>
        <v>[GPT ERROR] Error: The model "gpt-3.5-turbo" is disabled in this space.</v>
      </c>
    </row>
    <row r="37">
      <c r="A37" s="4" t="s">
        <v>137</v>
      </c>
      <c r="B37" s="4" t="s">
        <v>138</v>
      </c>
      <c r="C37" s="4" t="str">
        <f t="shared" si="1"/>
        <v>[GPT ERROR] Error: The model "gpt-3.5-turbo" is disabled in this space.</v>
      </c>
      <c r="D37" s="4" t="s">
        <v>68</v>
      </c>
      <c r="E37" s="2" t="s">
        <v>61</v>
      </c>
      <c r="F37" s="4" t="str">
        <f t="shared" si="2"/>
        <v>[GPT ERROR] Error: The model "gpt-3.5-turbo" is disabled in this space.</v>
      </c>
    </row>
    <row r="38">
      <c r="A38" s="4" t="s">
        <v>139</v>
      </c>
      <c r="B38" s="4" t="s">
        <v>140</v>
      </c>
      <c r="C38" s="4" t="str">
        <f t="shared" si="1"/>
        <v>[GPT ERROR] Error: The model "gpt-3.5-turbo" is disabled in this space.</v>
      </c>
      <c r="D38" s="4" t="s">
        <v>72</v>
      </c>
      <c r="E38" s="2" t="s">
        <v>61</v>
      </c>
      <c r="F38" s="4" t="str">
        <f t="shared" si="2"/>
        <v>[GPT ERROR] Error: The model "gpt-3.5-turbo" is disabled in this space.</v>
      </c>
    </row>
    <row r="39">
      <c r="A39" s="4" t="s">
        <v>141</v>
      </c>
      <c r="B39" s="4" t="s">
        <v>142</v>
      </c>
      <c r="C39" s="4" t="str">
        <f t="shared" si="1"/>
        <v>[GPT ERROR] Error: The model "gpt-3.5-turbo" is disabled in this space.</v>
      </c>
      <c r="D39" s="4" t="s">
        <v>100</v>
      </c>
      <c r="E39" s="2" t="s">
        <v>61</v>
      </c>
      <c r="F39" s="4" t="str">
        <f t="shared" si="2"/>
        <v>[GPT ERROR] Error: The model "gpt-3.5-turbo" is disabled in this space.</v>
      </c>
    </row>
    <row r="40">
      <c r="A40" s="4" t="s">
        <v>143</v>
      </c>
      <c r="B40" s="4" t="s">
        <v>140</v>
      </c>
      <c r="C40" s="4" t="str">
        <f t="shared" si="1"/>
        <v>[GPT ERROR] Error: The model "gpt-3.5-turbo" is disabled in this space.</v>
      </c>
      <c r="D40" s="4" t="s">
        <v>72</v>
      </c>
      <c r="E40" s="2" t="s">
        <v>61</v>
      </c>
      <c r="F40" s="4" t="str">
        <f t="shared" si="2"/>
        <v>[GPT ERROR] Error: The model "gpt-3.5-turbo" is disabled in this space.</v>
      </c>
    </row>
    <row r="41">
      <c r="A41" s="4" t="s">
        <v>144</v>
      </c>
      <c r="B41" s="4" t="s">
        <v>145</v>
      </c>
      <c r="C41" s="4" t="str">
        <f t="shared" si="1"/>
        <v>[GPT ERROR] Error: The model "gpt-3.5-turbo" is disabled in this space.</v>
      </c>
      <c r="D41" s="4" t="s">
        <v>68</v>
      </c>
      <c r="E41" s="2" t="s">
        <v>61</v>
      </c>
      <c r="F41" s="4" t="str">
        <f t="shared" si="2"/>
        <v>[GPT ERROR] Error: The model "gpt-3.5-turbo" is disabled in this space.</v>
      </c>
    </row>
    <row r="42">
      <c r="A42" s="4" t="s">
        <v>146</v>
      </c>
      <c r="B42" s="4" t="s">
        <v>102</v>
      </c>
      <c r="C42" s="4" t="str">
        <f t="shared" si="1"/>
        <v>[GPT ERROR] Error: The model "gpt-3.5-turbo" is disabled in this space.</v>
      </c>
      <c r="D42" s="4" t="s">
        <v>103</v>
      </c>
      <c r="E42" s="2" t="s">
        <v>61</v>
      </c>
      <c r="F42" s="4" t="str">
        <f t="shared" si="2"/>
        <v>[GPT ERROR] Error: The model "gpt-3.5-turbo" is disabled in this space.</v>
      </c>
    </row>
    <row r="43">
      <c r="A43" s="4" t="s">
        <v>147</v>
      </c>
      <c r="B43" s="4" t="s">
        <v>102</v>
      </c>
      <c r="C43" s="4" t="str">
        <f t="shared" si="1"/>
        <v>[GPT ERROR] Error: The model "gpt-3.5-turbo" is disabled in this space.</v>
      </c>
      <c r="D43" s="4" t="s">
        <v>103</v>
      </c>
      <c r="E43" s="2" t="s">
        <v>61</v>
      </c>
      <c r="F43" s="4" t="str">
        <f t="shared" si="2"/>
        <v>[GPT ERROR] Error: The model "gpt-3.5-turbo" is disabled in this space.</v>
      </c>
    </row>
    <row r="44">
      <c r="A44" s="4" t="s">
        <v>148</v>
      </c>
      <c r="B44" s="4" t="s">
        <v>149</v>
      </c>
      <c r="C44" s="4" t="str">
        <f t="shared" si="1"/>
        <v>[GPT ERROR] Error: The model "gpt-3.5-turbo" is disabled in this space.</v>
      </c>
      <c r="D44" s="4" t="s">
        <v>103</v>
      </c>
      <c r="E44" s="2" t="s">
        <v>61</v>
      </c>
      <c r="F44" s="4" t="str">
        <f t="shared" si="2"/>
        <v>[GPT ERROR] Error: The model "gpt-3.5-turbo" is disabled in this space.</v>
      </c>
    </row>
    <row r="45">
      <c r="A45" s="4" t="s">
        <v>150</v>
      </c>
      <c r="B45" s="4" t="s">
        <v>95</v>
      </c>
      <c r="C45" s="4" t="str">
        <f t="shared" si="1"/>
        <v>[GPT ERROR] Error: The model "gpt-3.5-turbo" is disabled in this space.</v>
      </c>
      <c r="D45" s="4" t="s">
        <v>68</v>
      </c>
      <c r="E45" s="2" t="s">
        <v>61</v>
      </c>
      <c r="F45" s="4" t="str">
        <f t="shared" si="2"/>
        <v>[GPT ERROR] Error: The model "gpt-3.5-turbo" is disabled in this space.</v>
      </c>
    </row>
    <row r="46">
      <c r="A46" s="4" t="s">
        <v>151</v>
      </c>
      <c r="B46" s="4" t="s">
        <v>152</v>
      </c>
      <c r="C46" s="4" t="str">
        <f t="shared" si="1"/>
        <v>[GPT ERROR] Error: The model "gpt-3.5-turbo" is disabled in this space.</v>
      </c>
      <c r="D46" s="4" t="s">
        <v>68</v>
      </c>
      <c r="E46" s="2" t="s">
        <v>61</v>
      </c>
      <c r="F46" s="4" t="str">
        <f t="shared" si="2"/>
        <v>[GPT ERROR] Error: The model "gpt-3.5-turbo" is disabled in this space.</v>
      </c>
    </row>
    <row r="47">
      <c r="A47" s="4" t="s">
        <v>153</v>
      </c>
      <c r="B47" s="4" t="s">
        <v>154</v>
      </c>
      <c r="C47" s="4" t="str">
        <f>GPT("Either state the name or if unknown state that. Who was the teacher or teachers of", A47)</f>
        <v>[GPT ERROR] Error: The model "gpt-3.5-turbo" is disabled in this space.</v>
      </c>
      <c r="D47" s="4" t="s">
        <v>100</v>
      </c>
      <c r="E47" s="2" t="s">
        <v>61</v>
      </c>
      <c r="F47" s="4" t="str">
        <f t="shared" si="2"/>
        <v>[GPT ERROR] Error: The model "gpt-3.5-turbo" is disabled in this space.</v>
      </c>
    </row>
    <row r="48">
      <c r="A48" s="4" t="s">
        <v>155</v>
      </c>
      <c r="B48" s="4" t="s">
        <v>156</v>
      </c>
      <c r="C48" s="4" t="str">
        <f t="shared" ref="C48:C79" si="3">GPT("Who was the teacher or teachers of", A48)</f>
        <v>[GPT ERROR] Error: The model "gpt-3.5-turbo" is disabled in this space.</v>
      </c>
      <c r="D48" s="4" t="s">
        <v>79</v>
      </c>
      <c r="E48" s="2" t="s">
        <v>61</v>
      </c>
      <c r="F48" s="4" t="str">
        <f t="shared" si="2"/>
        <v>[GPT ERROR] Error: The model "gpt-3.5-turbo" is disabled in this space.</v>
      </c>
    </row>
    <row r="49">
      <c r="A49" s="4" t="s">
        <v>157</v>
      </c>
      <c r="B49" s="4" t="s">
        <v>158</v>
      </c>
      <c r="C49" s="4" t="str">
        <f t="shared" si="3"/>
        <v>[GPT ERROR] Error: The model "gpt-3.5-turbo" is disabled in this space.</v>
      </c>
      <c r="D49" s="4" t="s">
        <v>72</v>
      </c>
      <c r="E49" s="2" t="s">
        <v>61</v>
      </c>
      <c r="F49" s="4" t="str">
        <f t="shared" si="2"/>
        <v>[GPT ERROR] Error: The model "gpt-3.5-turbo" is disabled in this space.</v>
      </c>
    </row>
    <row r="50">
      <c r="A50" s="4" t="s">
        <v>159</v>
      </c>
      <c r="B50" s="4" t="s">
        <v>160</v>
      </c>
      <c r="C50" s="4" t="str">
        <f t="shared" si="3"/>
        <v>[GPT ERROR] Error: The model "gpt-3.5-turbo" is disabled in this space.</v>
      </c>
      <c r="D50" s="4" t="s">
        <v>100</v>
      </c>
      <c r="E50" s="2" t="s">
        <v>61</v>
      </c>
      <c r="F50" s="4" t="str">
        <f t="shared" si="2"/>
        <v>[GPT ERROR] Error: The model "gpt-3.5-turbo" is disabled in this space.</v>
      </c>
    </row>
    <row r="51">
      <c r="A51" s="4" t="s">
        <v>161</v>
      </c>
      <c r="B51" s="4" t="s">
        <v>162</v>
      </c>
      <c r="C51" s="4" t="str">
        <f t="shared" si="3"/>
        <v>[GPT ERROR] Error: The model "gpt-3.5-turbo" is disabled in this space.</v>
      </c>
      <c r="D51" s="4" t="s">
        <v>68</v>
      </c>
      <c r="E51" s="2" t="s">
        <v>61</v>
      </c>
      <c r="F51" s="4" t="str">
        <f t="shared" si="2"/>
        <v>[GPT ERROR] Error: The model "gpt-3.5-turbo" is disabled in this space.</v>
      </c>
    </row>
    <row r="52">
      <c r="A52" s="4" t="s">
        <v>163</v>
      </c>
      <c r="B52" s="4" t="s">
        <v>164</v>
      </c>
      <c r="C52" s="4" t="str">
        <f t="shared" si="3"/>
        <v>[GPT ERROR] Error: The model "gpt-3.5-turbo" is disabled in this space.</v>
      </c>
      <c r="D52" s="4" t="s">
        <v>68</v>
      </c>
      <c r="E52" s="2" t="s">
        <v>61</v>
      </c>
    </row>
    <row r="53">
      <c r="A53" s="4" t="s">
        <v>165</v>
      </c>
      <c r="B53" s="4" t="s">
        <v>95</v>
      </c>
      <c r="C53" s="4" t="str">
        <f t="shared" si="3"/>
        <v>[GPT ERROR] Error: The model "gpt-3.5-turbo" is disabled in this space.</v>
      </c>
      <c r="D53" s="4" t="s">
        <v>103</v>
      </c>
      <c r="E53" s="2" t="s">
        <v>61</v>
      </c>
    </row>
    <row r="54">
      <c r="A54" s="4" t="s">
        <v>166</v>
      </c>
      <c r="B54" s="4" t="s">
        <v>167</v>
      </c>
      <c r="C54" s="4" t="str">
        <f t="shared" si="3"/>
        <v>[GPT ERROR] Error: The model "gpt-3.5-turbo" is disabled in this space.</v>
      </c>
      <c r="D54" s="4" t="s">
        <v>103</v>
      </c>
      <c r="E54" s="2" t="s">
        <v>61</v>
      </c>
    </row>
    <row r="55">
      <c r="A55" s="4" t="s">
        <v>168</v>
      </c>
      <c r="B55" s="4" t="s">
        <v>169</v>
      </c>
      <c r="C55" s="4" t="str">
        <f t="shared" si="3"/>
        <v>[GPT ERROR] Error: The model "gpt-3.5-turbo" is disabled in this space.</v>
      </c>
      <c r="D55" s="4" t="s">
        <v>68</v>
      </c>
      <c r="E55" s="2" t="s">
        <v>61</v>
      </c>
    </row>
    <row r="56">
      <c r="A56" s="4" t="s">
        <v>170</v>
      </c>
      <c r="B56" s="4" t="s">
        <v>102</v>
      </c>
      <c r="C56" s="4" t="str">
        <f t="shared" si="3"/>
        <v>[GPT ERROR] Error: The model "gpt-3.5-turbo" is disabled in this space.</v>
      </c>
      <c r="D56" s="4" t="s">
        <v>103</v>
      </c>
      <c r="E56" s="2" t="s">
        <v>61</v>
      </c>
    </row>
    <row r="57">
      <c r="A57" s="4" t="s">
        <v>171</v>
      </c>
      <c r="B57" s="4" t="s">
        <v>102</v>
      </c>
      <c r="C57" s="4" t="str">
        <f t="shared" si="3"/>
        <v>[GPT ERROR] Error: The model "gpt-3.5-turbo" is disabled in this space.</v>
      </c>
      <c r="D57" s="4" t="s">
        <v>103</v>
      </c>
      <c r="E57" s="2" t="s">
        <v>61</v>
      </c>
    </row>
    <row r="58">
      <c r="A58" s="4" t="s">
        <v>172</v>
      </c>
      <c r="B58" s="4" t="s">
        <v>173</v>
      </c>
      <c r="C58" s="4" t="str">
        <f t="shared" si="3"/>
        <v>[GPT ERROR] Error: The model "gpt-3.5-turbo" is disabled in this space.</v>
      </c>
      <c r="D58" s="4" t="s">
        <v>68</v>
      </c>
      <c r="E58" s="2" t="s">
        <v>61</v>
      </c>
    </row>
    <row r="59">
      <c r="A59" s="4" t="s">
        <v>174</v>
      </c>
      <c r="B59" s="4" t="s">
        <v>175</v>
      </c>
      <c r="C59" s="4" t="str">
        <f t="shared" si="3"/>
        <v>[GPT ERROR] Error: The model "gpt-3.5-turbo" is disabled in this space.</v>
      </c>
      <c r="D59" s="4" t="s">
        <v>68</v>
      </c>
      <c r="E59" s="2" t="s">
        <v>61</v>
      </c>
    </row>
    <row r="60">
      <c r="A60" s="4" t="s">
        <v>176</v>
      </c>
      <c r="B60" s="4" t="s">
        <v>177</v>
      </c>
      <c r="C60" s="4" t="str">
        <f t="shared" si="3"/>
        <v>[GPT ERROR] Error: The model "gpt-3.5-turbo" is disabled in this space.</v>
      </c>
      <c r="D60" s="4" t="s">
        <v>68</v>
      </c>
      <c r="E60" s="2" t="s">
        <v>61</v>
      </c>
    </row>
    <row r="61">
      <c r="A61" s="4" t="s">
        <v>178</v>
      </c>
      <c r="B61" s="4" t="s">
        <v>179</v>
      </c>
      <c r="C61" s="4" t="str">
        <f t="shared" si="3"/>
        <v>[GPT ERROR] Error: The model "gpt-3.5-turbo" is disabled in this space.</v>
      </c>
      <c r="D61" s="4" t="s">
        <v>68</v>
      </c>
      <c r="E61" s="2" t="s">
        <v>61</v>
      </c>
    </row>
    <row r="62">
      <c r="A62" s="4" t="s">
        <v>180</v>
      </c>
      <c r="B62" s="4" t="s">
        <v>181</v>
      </c>
      <c r="C62" s="4" t="str">
        <f t="shared" si="3"/>
        <v>[GPT ERROR] Error: The model "gpt-3.5-turbo" is disabled in this space.</v>
      </c>
      <c r="D62" s="4" t="s">
        <v>68</v>
      </c>
      <c r="E62" s="2" t="s">
        <v>61</v>
      </c>
    </row>
    <row r="63">
      <c r="A63" s="4" t="s">
        <v>182</v>
      </c>
      <c r="B63" s="4" t="s">
        <v>183</v>
      </c>
      <c r="C63" s="4" t="str">
        <f t="shared" si="3"/>
        <v>[GPT ERROR] Error: The model "gpt-3.5-turbo" is disabled in this space.</v>
      </c>
      <c r="D63" s="4" t="s">
        <v>100</v>
      </c>
      <c r="E63" s="2" t="s">
        <v>61</v>
      </c>
    </row>
    <row r="64">
      <c r="A64" s="4" t="s">
        <v>184</v>
      </c>
      <c r="B64" s="4" t="s">
        <v>102</v>
      </c>
      <c r="C64" s="4" t="str">
        <f t="shared" si="3"/>
        <v>[GPT ERROR] Error: The model "gpt-3.5-turbo" is disabled in this space.</v>
      </c>
      <c r="D64" s="4" t="s">
        <v>103</v>
      </c>
      <c r="E64" s="2" t="s">
        <v>61</v>
      </c>
    </row>
    <row r="65">
      <c r="A65" s="4" t="s">
        <v>185</v>
      </c>
      <c r="B65" s="4" t="s">
        <v>186</v>
      </c>
      <c r="C65" s="4" t="str">
        <f t="shared" si="3"/>
        <v>[GPT ERROR] Error: The model "gpt-3.5-turbo" is disabled in this space.</v>
      </c>
      <c r="D65" s="4" t="s">
        <v>68</v>
      </c>
      <c r="E65" s="2" t="s">
        <v>61</v>
      </c>
    </row>
    <row r="66">
      <c r="A66" s="4" t="s">
        <v>187</v>
      </c>
      <c r="B66" s="4" t="s">
        <v>188</v>
      </c>
      <c r="C66" s="4" t="str">
        <f t="shared" si="3"/>
        <v>[GPT ERROR] Error: The model "gpt-3.5-turbo" is disabled in this space.</v>
      </c>
      <c r="D66" s="4" t="s">
        <v>68</v>
      </c>
      <c r="E66" s="2" t="s">
        <v>61</v>
      </c>
    </row>
    <row r="67">
      <c r="A67" s="4" t="s">
        <v>189</v>
      </c>
      <c r="B67" s="4" t="s">
        <v>156</v>
      </c>
      <c r="C67" s="4" t="str">
        <f t="shared" si="3"/>
        <v>[GPT ERROR] Error: The model "gpt-3.5-turbo" is disabled in this space.</v>
      </c>
      <c r="D67" s="4" t="s">
        <v>79</v>
      </c>
      <c r="E67" s="2" t="s">
        <v>61</v>
      </c>
    </row>
    <row r="68">
      <c r="A68" s="4" t="s">
        <v>190</v>
      </c>
      <c r="B68" s="4" t="s">
        <v>191</v>
      </c>
      <c r="C68" s="4" t="str">
        <f t="shared" si="3"/>
        <v>[GPT ERROR] Error: The model "gpt-3.5-turbo" is disabled in this space.</v>
      </c>
      <c r="D68" s="4" t="s">
        <v>103</v>
      </c>
      <c r="E68" s="2" t="s">
        <v>61</v>
      </c>
    </row>
    <row r="69">
      <c r="A69" s="4" t="s">
        <v>192</v>
      </c>
      <c r="B69" s="4" t="s">
        <v>158</v>
      </c>
      <c r="C69" s="4" t="str">
        <f t="shared" si="3"/>
        <v>[GPT ERROR] Error: The model "gpt-3.5-turbo" is disabled in this space.</v>
      </c>
      <c r="D69" s="4" t="s">
        <v>72</v>
      </c>
      <c r="E69" s="2" t="s">
        <v>61</v>
      </c>
    </row>
    <row r="70">
      <c r="A70" s="4" t="s">
        <v>193</v>
      </c>
      <c r="B70" s="4" t="s">
        <v>194</v>
      </c>
      <c r="C70" s="4" t="str">
        <f t="shared" si="3"/>
        <v>[GPT ERROR] Error: The model "gpt-3.5-turbo" is disabled in this space.</v>
      </c>
      <c r="D70" s="4" t="s">
        <v>79</v>
      </c>
      <c r="E70" s="2" t="s">
        <v>61</v>
      </c>
    </row>
    <row r="71">
      <c r="A71" s="4" t="s">
        <v>195</v>
      </c>
      <c r="B71" s="4" t="s">
        <v>196</v>
      </c>
      <c r="C71" s="4" t="str">
        <f t="shared" si="3"/>
        <v>[GPT ERROR] Error: The model "gpt-3.5-turbo" is disabled in this space.</v>
      </c>
      <c r="D71" s="4" t="s">
        <v>68</v>
      </c>
      <c r="E71" s="2" t="s">
        <v>61</v>
      </c>
    </row>
    <row r="72">
      <c r="A72" s="4" t="s">
        <v>197</v>
      </c>
      <c r="B72" s="4" t="s">
        <v>198</v>
      </c>
      <c r="C72" s="4" t="str">
        <f t="shared" si="3"/>
        <v>[GPT ERROR] Error: The model "gpt-3.5-turbo" is disabled in this space.</v>
      </c>
      <c r="D72" s="4" t="s">
        <v>68</v>
      </c>
      <c r="E72" s="2" t="s">
        <v>61</v>
      </c>
    </row>
    <row r="73">
      <c r="A73" s="4" t="s">
        <v>199</v>
      </c>
      <c r="B73" s="4" t="s">
        <v>90</v>
      </c>
      <c r="C73" s="4" t="str">
        <f t="shared" si="3"/>
        <v>[GPT ERROR] Error: The model "gpt-3.5-turbo" is disabled in this space.</v>
      </c>
      <c r="D73" s="4" t="s">
        <v>79</v>
      </c>
      <c r="E73" s="2" t="s">
        <v>61</v>
      </c>
    </row>
    <row r="74">
      <c r="A74" s="4" t="s">
        <v>200</v>
      </c>
      <c r="B74" s="4" t="s">
        <v>201</v>
      </c>
      <c r="C74" s="4" t="str">
        <f t="shared" si="3"/>
        <v>[GPT ERROR] Error: The model "gpt-3.5-turbo" is disabled in this space.</v>
      </c>
      <c r="D74" s="4" t="s">
        <v>68</v>
      </c>
      <c r="E74" s="2" t="s">
        <v>61</v>
      </c>
    </row>
    <row r="75">
      <c r="A75" s="4" t="s">
        <v>202</v>
      </c>
      <c r="B75" s="4" t="s">
        <v>203</v>
      </c>
      <c r="C75" s="4" t="str">
        <f t="shared" si="3"/>
        <v>[GPT ERROR] Error: The model "gpt-3.5-turbo" is disabled in this space.</v>
      </c>
      <c r="D75" s="4" t="s">
        <v>79</v>
      </c>
      <c r="E75" s="2" t="s">
        <v>61</v>
      </c>
    </row>
    <row r="76">
      <c r="A76" s="4" t="s">
        <v>204</v>
      </c>
      <c r="B76" s="4" t="s">
        <v>102</v>
      </c>
      <c r="C76" s="4" t="str">
        <f t="shared" si="3"/>
        <v>[GPT ERROR] Error: The model "gpt-3.5-turbo" is disabled in this space.</v>
      </c>
      <c r="D76" s="4" t="s">
        <v>103</v>
      </c>
      <c r="E76" s="2" t="s">
        <v>61</v>
      </c>
    </row>
    <row r="77">
      <c r="A77" s="4" t="s">
        <v>205</v>
      </c>
      <c r="B77" s="4" t="s">
        <v>206</v>
      </c>
      <c r="C77" s="4" t="str">
        <f t="shared" si="3"/>
        <v>[GPT ERROR] Error: The model "gpt-3.5-turbo" is disabled in this space.</v>
      </c>
      <c r="D77" s="4" t="s">
        <v>79</v>
      </c>
      <c r="E77" s="2" t="s">
        <v>61</v>
      </c>
    </row>
    <row r="78">
      <c r="A78" s="4" t="s">
        <v>207</v>
      </c>
      <c r="B78" s="4" t="s">
        <v>208</v>
      </c>
      <c r="C78" s="4" t="str">
        <f t="shared" si="3"/>
        <v>[GPT ERROR] Error: The model "gpt-3.5-turbo" is disabled in this space.</v>
      </c>
      <c r="D78" s="4" t="s">
        <v>72</v>
      </c>
      <c r="E78" s="2" t="s">
        <v>61</v>
      </c>
    </row>
    <row r="79">
      <c r="A79" s="4" t="s">
        <v>1</v>
      </c>
      <c r="B79" s="4" t="s">
        <v>209</v>
      </c>
      <c r="C79" s="4" t="str">
        <f t="shared" si="3"/>
        <v>[GPT ERROR] Error: The model "gpt-3.5-turbo" is disabled in this space.</v>
      </c>
      <c r="D79" s="4" t="s">
        <v>103</v>
      </c>
      <c r="E79" s="2" t="s">
        <v>61</v>
      </c>
    </row>
    <row r="80">
      <c r="A80" s="4" t="s">
        <v>20</v>
      </c>
      <c r="B80" s="4" t="s">
        <v>210</v>
      </c>
      <c r="C80" s="4" t="str">
        <f t="shared" ref="C80:C388" si="4">GPT("Only state the name or Unknown. Who was the teacher or teachers of", A80)</f>
        <v>[GPT ERROR] Error: The model "gpt-3.5-turbo" is disabled in this space.</v>
      </c>
      <c r="D80" s="4" t="s">
        <v>68</v>
      </c>
      <c r="E80" s="2" t="s">
        <v>61</v>
      </c>
    </row>
    <row r="81">
      <c r="A81" s="4" t="s">
        <v>211</v>
      </c>
      <c r="B81" s="4" t="s">
        <v>212</v>
      </c>
      <c r="C81" s="4" t="str">
        <f t="shared" si="4"/>
        <v>[GPT ERROR] Error: The model "gpt-3.5-turbo" is disabled in this space.</v>
      </c>
      <c r="D81" s="4" t="s">
        <v>79</v>
      </c>
      <c r="E81" s="2" t="s">
        <v>61</v>
      </c>
    </row>
    <row r="82">
      <c r="A82" s="4" t="s">
        <v>213</v>
      </c>
      <c r="B82" s="4" t="s">
        <v>214</v>
      </c>
      <c r="C82" s="4" t="str">
        <f t="shared" si="4"/>
        <v>[GPT ERROR] Error: The model "gpt-3.5-turbo" is disabled in this space.</v>
      </c>
      <c r="D82" s="4" t="s">
        <v>68</v>
      </c>
      <c r="E82" s="2" t="s">
        <v>61</v>
      </c>
    </row>
    <row r="83">
      <c r="A83" s="4" t="s">
        <v>215</v>
      </c>
      <c r="B83" s="4" t="s">
        <v>216</v>
      </c>
      <c r="C83" s="4" t="str">
        <f t="shared" si="4"/>
        <v>[GPT ERROR] Error: The model "gpt-3.5-turbo" is disabled in this space.</v>
      </c>
      <c r="D83" s="4" t="s">
        <v>103</v>
      </c>
      <c r="E83" s="2" t="s">
        <v>61</v>
      </c>
    </row>
    <row r="84">
      <c r="A84" s="4" t="s">
        <v>217</v>
      </c>
      <c r="B84" s="4" t="s">
        <v>218</v>
      </c>
      <c r="C84" s="4" t="str">
        <f t="shared" si="4"/>
        <v>[GPT ERROR] Error: The model "gpt-3.5-turbo" is disabled in this space.</v>
      </c>
      <c r="D84" s="4" t="s">
        <v>68</v>
      </c>
      <c r="E84" s="2" t="s">
        <v>61</v>
      </c>
    </row>
    <row r="85">
      <c r="A85" s="4" t="s">
        <v>219</v>
      </c>
      <c r="B85" s="4" t="s">
        <v>220</v>
      </c>
      <c r="C85" s="4" t="str">
        <f t="shared" si="4"/>
        <v>[GPT ERROR] Error: The model "gpt-3.5-turbo" is disabled in this space.</v>
      </c>
      <c r="D85" s="4" t="s">
        <v>68</v>
      </c>
      <c r="E85" s="2" t="s">
        <v>61</v>
      </c>
    </row>
    <row r="86">
      <c r="A86" s="4" t="s">
        <v>221</v>
      </c>
      <c r="B86" s="4" t="s">
        <v>222</v>
      </c>
      <c r="C86" s="4" t="str">
        <f t="shared" si="4"/>
        <v>[GPT ERROR] Error: The model "gpt-3.5-turbo" is disabled in this space.</v>
      </c>
      <c r="D86" s="4" t="s">
        <v>68</v>
      </c>
      <c r="E86" s="2" t="s">
        <v>61</v>
      </c>
    </row>
    <row r="87">
      <c r="A87" s="4" t="s">
        <v>223</v>
      </c>
      <c r="B87" s="4" t="s">
        <v>224</v>
      </c>
      <c r="C87" s="4" t="str">
        <f t="shared" si="4"/>
        <v>[GPT ERROR] Error: The model "gpt-3.5-turbo" is disabled in this space.</v>
      </c>
      <c r="D87" s="4" t="s">
        <v>68</v>
      </c>
      <c r="E87" s="2" t="s">
        <v>61</v>
      </c>
    </row>
    <row r="88">
      <c r="A88" s="4" t="s">
        <v>225</v>
      </c>
      <c r="B88" s="4" t="s">
        <v>226</v>
      </c>
      <c r="C88" s="4" t="str">
        <f t="shared" si="4"/>
        <v>[GPT ERROR] Error: The model "gpt-3.5-turbo" is disabled in this space.</v>
      </c>
      <c r="D88" s="4" t="s">
        <v>68</v>
      </c>
      <c r="E88" s="2" t="s">
        <v>61</v>
      </c>
    </row>
    <row r="89">
      <c r="A89" s="4" t="s">
        <v>227</v>
      </c>
      <c r="B89" s="4" t="s">
        <v>102</v>
      </c>
      <c r="C89" s="4" t="str">
        <f t="shared" si="4"/>
        <v>[GPT ERROR] Error: The model "gpt-3.5-turbo" is disabled in this space.</v>
      </c>
      <c r="D89" s="4" t="s">
        <v>103</v>
      </c>
      <c r="E89" s="2" t="s">
        <v>61</v>
      </c>
    </row>
    <row r="90">
      <c r="A90" s="4" t="s">
        <v>49</v>
      </c>
      <c r="B90" s="4" t="s">
        <v>228</v>
      </c>
      <c r="C90" s="4" t="str">
        <f t="shared" si="4"/>
        <v>[GPT ERROR] Error: The model "gpt-3.5-turbo" is disabled in this space.</v>
      </c>
      <c r="D90" s="4" t="s">
        <v>68</v>
      </c>
      <c r="E90" s="2" t="s">
        <v>61</v>
      </c>
    </row>
    <row r="91">
      <c r="A91" s="4" t="s">
        <v>229</v>
      </c>
      <c r="B91" s="4" t="s">
        <v>230</v>
      </c>
      <c r="C91" s="4" t="str">
        <f t="shared" si="4"/>
        <v>[GPT ERROR] Error: The model "gpt-3.5-turbo" is disabled in this space.</v>
      </c>
      <c r="D91" s="4" t="s">
        <v>68</v>
      </c>
      <c r="E91" s="2" t="s">
        <v>61</v>
      </c>
    </row>
    <row r="92">
      <c r="A92" s="4" t="s">
        <v>231</v>
      </c>
      <c r="B92" s="4" t="s">
        <v>232</v>
      </c>
      <c r="C92" s="4" t="str">
        <f t="shared" si="4"/>
        <v>[GPT ERROR] Error: The model "gpt-3.5-turbo" is disabled in this space.</v>
      </c>
      <c r="D92" s="4" t="s">
        <v>68</v>
      </c>
      <c r="E92" s="2" t="s">
        <v>61</v>
      </c>
    </row>
    <row r="93">
      <c r="A93" s="4" t="s">
        <v>233</v>
      </c>
      <c r="B93" s="4" t="s">
        <v>234</v>
      </c>
      <c r="C93" s="4" t="str">
        <f t="shared" si="4"/>
        <v>[GPT ERROR] Error: The model "gpt-3.5-turbo" is disabled in this space.</v>
      </c>
      <c r="D93" s="4" t="s">
        <v>103</v>
      </c>
      <c r="E93" s="2" t="s">
        <v>61</v>
      </c>
    </row>
    <row r="94">
      <c r="A94" s="4" t="s">
        <v>235</v>
      </c>
      <c r="B94" s="4" t="s">
        <v>236</v>
      </c>
      <c r="C94" s="4" t="str">
        <f t="shared" si="4"/>
        <v>[GPT ERROR] Error: The model "gpt-3.5-turbo" is disabled in this space.</v>
      </c>
      <c r="D94" s="4" t="s">
        <v>68</v>
      </c>
      <c r="E94" s="2" t="s">
        <v>61</v>
      </c>
    </row>
    <row r="95">
      <c r="A95" s="4" t="s">
        <v>45</v>
      </c>
      <c r="B95" s="4" t="s">
        <v>237</v>
      </c>
      <c r="C95" s="4" t="str">
        <f t="shared" si="4"/>
        <v>[GPT ERROR] Error: The model "gpt-3.5-turbo" is disabled in this space.</v>
      </c>
      <c r="D95" s="4" t="s">
        <v>68</v>
      </c>
      <c r="E95" s="2" t="s">
        <v>61</v>
      </c>
    </row>
    <row r="96">
      <c r="A96" s="4" t="s">
        <v>238</v>
      </c>
      <c r="B96" s="4" t="s">
        <v>239</v>
      </c>
      <c r="C96" s="4" t="str">
        <f t="shared" si="4"/>
        <v>[GPT ERROR] Error: The model "gpt-3.5-turbo" is disabled in this space.</v>
      </c>
      <c r="D96" s="4" t="s">
        <v>100</v>
      </c>
      <c r="E96" s="2" t="s">
        <v>61</v>
      </c>
    </row>
    <row r="97">
      <c r="A97" s="4" t="s">
        <v>240</v>
      </c>
      <c r="B97" s="4" t="s">
        <v>241</v>
      </c>
      <c r="C97" s="4" t="str">
        <f t="shared" si="4"/>
        <v>[GPT ERROR] Error: The model "gpt-3.5-turbo" is disabled in this space.</v>
      </c>
      <c r="D97" s="4" t="s">
        <v>68</v>
      </c>
      <c r="E97" s="2" t="s">
        <v>61</v>
      </c>
    </row>
    <row r="98">
      <c r="A98" s="4" t="s">
        <v>242</v>
      </c>
      <c r="B98" s="4" t="s">
        <v>243</v>
      </c>
      <c r="C98" s="4" t="str">
        <f t="shared" si="4"/>
        <v>[GPT ERROR] Error: The model "gpt-3.5-turbo" is disabled in this space.</v>
      </c>
      <c r="D98" s="4" t="s">
        <v>79</v>
      </c>
      <c r="E98" s="2" t="s">
        <v>61</v>
      </c>
    </row>
    <row r="99">
      <c r="A99" s="4" t="s">
        <v>244</v>
      </c>
      <c r="B99" s="4" t="s">
        <v>102</v>
      </c>
      <c r="C99" s="4" t="str">
        <f t="shared" si="4"/>
        <v>[GPT ERROR] Error: The model "gpt-3.5-turbo" is disabled in this space.</v>
      </c>
      <c r="D99" s="4" t="s">
        <v>103</v>
      </c>
      <c r="E99" s="2" t="s">
        <v>61</v>
      </c>
    </row>
    <row r="100">
      <c r="A100" s="4" t="s">
        <v>245</v>
      </c>
      <c r="B100" s="4" t="s">
        <v>246</v>
      </c>
      <c r="C100" s="4" t="str">
        <f t="shared" si="4"/>
        <v>[GPT ERROR] Error: The model "gpt-3.5-turbo" is disabled in this space.</v>
      </c>
      <c r="D100" s="4" t="s">
        <v>103</v>
      </c>
      <c r="E100" s="2" t="s">
        <v>61</v>
      </c>
    </row>
    <row r="101">
      <c r="A101" s="4" t="s">
        <v>247</v>
      </c>
      <c r="B101" s="4" t="s">
        <v>181</v>
      </c>
      <c r="C101" s="4" t="str">
        <f t="shared" si="4"/>
        <v>[GPT ERROR] Error: The model "gpt-3.5-turbo" is disabled in this space.</v>
      </c>
      <c r="D101" s="4" t="s">
        <v>68</v>
      </c>
      <c r="E101" s="2" t="s">
        <v>61</v>
      </c>
    </row>
    <row r="102">
      <c r="A102" s="4" t="s">
        <v>248</v>
      </c>
      <c r="B102" s="4" t="s">
        <v>249</v>
      </c>
      <c r="C102" s="4" t="str">
        <f t="shared" si="4"/>
        <v>[GPT ERROR] Error: The model "gpt-3.5-turbo" is disabled in this space.</v>
      </c>
      <c r="D102" s="4" t="s">
        <v>60</v>
      </c>
      <c r="E102" s="4" t="s">
        <v>250</v>
      </c>
      <c r="F102" s="4" t="s">
        <v>250</v>
      </c>
    </row>
    <row r="103">
      <c r="A103" s="4" t="s">
        <v>251</v>
      </c>
      <c r="B103" s="4" t="s">
        <v>252</v>
      </c>
      <c r="C103" s="4" t="str">
        <f t="shared" si="4"/>
        <v>[GPT ERROR] Error: The model "gpt-3.5-turbo" is disabled in this space.</v>
      </c>
      <c r="D103" s="4" t="s">
        <v>253</v>
      </c>
      <c r="E103" s="4" t="s">
        <v>254</v>
      </c>
      <c r="F103" s="4" t="s">
        <v>254</v>
      </c>
    </row>
    <row r="104">
      <c r="A104" s="4" t="s">
        <v>255</v>
      </c>
      <c r="B104" s="4" t="s">
        <v>256</v>
      </c>
      <c r="C104" s="4" t="str">
        <f t="shared" si="4"/>
        <v>[GPT ERROR] Error: The model "gpt-3.5-turbo" is disabled in this space.</v>
      </c>
      <c r="D104" s="4" t="s">
        <v>257</v>
      </c>
      <c r="E104" s="4" t="s">
        <v>258</v>
      </c>
      <c r="F104" s="4" t="s">
        <v>258</v>
      </c>
    </row>
    <row r="105">
      <c r="A105" s="4" t="s">
        <v>259</v>
      </c>
      <c r="C105" s="4" t="str">
        <f t="shared" si="4"/>
        <v>[GPT ERROR] Error: The model "gpt-3.5-turbo" is disabled in this space.</v>
      </c>
      <c r="D105" s="4" t="s">
        <v>260</v>
      </c>
      <c r="E105" s="4" t="s">
        <v>261</v>
      </c>
      <c r="F105" s="4" t="s">
        <v>261</v>
      </c>
    </row>
    <row r="106">
      <c r="A106" s="4" t="s">
        <v>262</v>
      </c>
      <c r="B106" s="4" t="s">
        <v>263</v>
      </c>
      <c r="C106" s="4" t="str">
        <f t="shared" si="4"/>
        <v>[GPT ERROR] Error: The model "gpt-3.5-turbo" is disabled in this space.</v>
      </c>
      <c r="D106" s="4" t="s">
        <v>260</v>
      </c>
      <c r="E106" s="4" t="s">
        <v>264</v>
      </c>
      <c r="F106" s="4" t="s">
        <v>264</v>
      </c>
    </row>
    <row r="107">
      <c r="A107" s="4" t="s">
        <v>265</v>
      </c>
      <c r="B107" s="4" t="s">
        <v>266</v>
      </c>
      <c r="C107" s="4" t="str">
        <f t="shared" si="4"/>
        <v>[GPT ERROR] Error: The model "gpt-3.5-turbo" is disabled in this space.</v>
      </c>
      <c r="D107" s="4" t="s">
        <v>260</v>
      </c>
      <c r="E107" s="4" t="s">
        <v>267</v>
      </c>
      <c r="F107" s="4" t="s">
        <v>267</v>
      </c>
    </row>
    <row r="108">
      <c r="A108" s="4" t="s">
        <v>27</v>
      </c>
      <c r="B108" s="4" t="s">
        <v>218</v>
      </c>
      <c r="C108" s="4" t="str">
        <f t="shared" si="4"/>
        <v>[GPT ERROR] Error: The model "gpt-3.5-turbo" is disabled in this space.</v>
      </c>
      <c r="D108" s="4" t="s">
        <v>60</v>
      </c>
      <c r="E108" s="4" t="s">
        <v>268</v>
      </c>
      <c r="F108" s="4" t="s">
        <v>268</v>
      </c>
    </row>
    <row r="109">
      <c r="A109" s="4" t="s">
        <v>269</v>
      </c>
      <c r="C109" s="4" t="str">
        <f t="shared" si="4"/>
        <v>[GPT ERROR] Error: The model "gpt-3.5-turbo" is disabled in this space.</v>
      </c>
      <c r="D109" s="4" t="s">
        <v>270</v>
      </c>
      <c r="E109" s="4" t="s">
        <v>271</v>
      </c>
      <c r="F109" s="4" t="s">
        <v>271</v>
      </c>
    </row>
    <row r="110">
      <c r="A110" s="4" t="s">
        <v>272</v>
      </c>
      <c r="C110" s="4" t="str">
        <f t="shared" si="4"/>
        <v>[GPT ERROR] Error: The model "gpt-3.5-turbo" is disabled in this space.</v>
      </c>
      <c r="D110" s="4" t="s">
        <v>270</v>
      </c>
      <c r="F110" s="4" t="s">
        <v>273</v>
      </c>
    </row>
    <row r="111">
      <c r="A111" s="4" t="s">
        <v>274</v>
      </c>
      <c r="C111" s="4" t="str">
        <f t="shared" si="4"/>
        <v>[GPT ERROR] Error: The model "gpt-3.5-turbo" is disabled in this space.</v>
      </c>
      <c r="D111" s="4" t="s">
        <v>275</v>
      </c>
      <c r="F111" s="4" t="s">
        <v>276</v>
      </c>
    </row>
    <row r="112">
      <c r="A112" s="4" t="s">
        <v>277</v>
      </c>
      <c r="C112" s="4" t="str">
        <f t="shared" si="4"/>
        <v>[GPT ERROR] Error: The model "gpt-3.5-turbo" is disabled in this space.</v>
      </c>
      <c r="D112" s="4" t="s">
        <v>278</v>
      </c>
      <c r="F112" s="4" t="s">
        <v>279</v>
      </c>
    </row>
    <row r="113">
      <c r="A113" s="4" t="s">
        <v>280</v>
      </c>
      <c r="C113" s="4" t="str">
        <f t="shared" si="4"/>
        <v>[GPT ERROR] Error: The model "gpt-3.5-turbo" is disabled in this space.</v>
      </c>
      <c r="D113" s="4" t="s">
        <v>281</v>
      </c>
      <c r="F113" s="4" t="s">
        <v>282</v>
      </c>
    </row>
    <row r="114">
      <c r="A114" s="4" t="s">
        <v>283</v>
      </c>
      <c r="C114" s="4" t="str">
        <f t="shared" si="4"/>
        <v>[GPT ERROR] Error: The model "gpt-3.5-turbo" is disabled in this space.</v>
      </c>
      <c r="D114" s="4" t="s">
        <v>284</v>
      </c>
      <c r="F114" s="4" t="s">
        <v>285</v>
      </c>
    </row>
    <row r="115">
      <c r="A115" s="4" t="s">
        <v>286</v>
      </c>
      <c r="B115" s="4" t="s">
        <v>287</v>
      </c>
      <c r="C115" s="4" t="str">
        <f t="shared" si="4"/>
        <v>[GPT ERROR] Error: The model "gpt-3.5-turbo" is disabled in this space.</v>
      </c>
      <c r="D115" s="4" t="s">
        <v>270</v>
      </c>
      <c r="F115" s="4" t="s">
        <v>288</v>
      </c>
    </row>
    <row r="116">
      <c r="A116" s="4" t="s">
        <v>247</v>
      </c>
      <c r="B116" s="4" t="s">
        <v>181</v>
      </c>
      <c r="C116" s="4" t="str">
        <f t="shared" si="4"/>
        <v>[GPT ERROR] Error: The model "gpt-3.5-turbo" is disabled in this space.</v>
      </c>
      <c r="D116" s="4" t="s">
        <v>60</v>
      </c>
      <c r="F116" s="4" t="s">
        <v>289</v>
      </c>
    </row>
    <row r="117">
      <c r="A117" s="4" t="s">
        <v>290</v>
      </c>
      <c r="C117" s="4" t="str">
        <f t="shared" si="4"/>
        <v>[GPT ERROR] Error: The model "gpt-3.5-turbo" is disabled in this space.</v>
      </c>
      <c r="D117" s="4" t="s">
        <v>278</v>
      </c>
      <c r="F117" s="4" t="s">
        <v>291</v>
      </c>
    </row>
    <row r="118">
      <c r="A118" s="4" t="s">
        <v>292</v>
      </c>
      <c r="C118" s="4" t="str">
        <f t="shared" si="4"/>
        <v>[GPT ERROR] Error: The model "gpt-3.5-turbo" is disabled in this space.</v>
      </c>
      <c r="D118" s="4" t="s">
        <v>293</v>
      </c>
      <c r="F118" s="4" t="s">
        <v>294</v>
      </c>
    </row>
    <row r="119">
      <c r="A119" s="4" t="s">
        <v>295</v>
      </c>
      <c r="B119" s="4" t="s">
        <v>296</v>
      </c>
      <c r="C119" s="4" t="str">
        <f t="shared" si="4"/>
        <v>[GPT ERROR] Error: The model "gpt-3.5-turbo" is disabled in this space.</v>
      </c>
      <c r="D119" s="4" t="s">
        <v>12</v>
      </c>
      <c r="F119" s="4" t="s">
        <v>297</v>
      </c>
    </row>
    <row r="120">
      <c r="A120" s="4" t="s">
        <v>298</v>
      </c>
      <c r="B120" s="4" t="s">
        <v>299</v>
      </c>
      <c r="C120" s="4" t="str">
        <f t="shared" si="4"/>
        <v>[GPT ERROR] Error: The model "gpt-3.5-turbo" is disabled in this space.</v>
      </c>
      <c r="D120" s="4" t="s">
        <v>300</v>
      </c>
      <c r="F120" s="4" t="s">
        <v>301</v>
      </c>
    </row>
    <row r="121">
      <c r="A121" s="4" t="s">
        <v>302</v>
      </c>
      <c r="B121" s="4" t="s">
        <v>303</v>
      </c>
      <c r="C121" s="4" t="str">
        <f t="shared" si="4"/>
        <v>[GPT ERROR] Error: The model "gpt-3.5-turbo" is disabled in this space.</v>
      </c>
      <c r="D121" s="4" t="s">
        <v>270</v>
      </c>
      <c r="F121" s="4" t="s">
        <v>304</v>
      </c>
    </row>
    <row r="122">
      <c r="A122" s="4" t="s">
        <v>305</v>
      </c>
      <c r="C122" s="4" t="str">
        <f t="shared" si="4"/>
        <v>[GPT ERROR] Error: The model "gpt-3.5-turbo" is disabled in this space.</v>
      </c>
      <c r="D122" s="4" t="s">
        <v>257</v>
      </c>
      <c r="F122" s="4" t="s">
        <v>306</v>
      </c>
    </row>
    <row r="123">
      <c r="A123" s="4" t="s">
        <v>307</v>
      </c>
      <c r="C123" s="4" t="str">
        <f t="shared" si="4"/>
        <v>[GPT ERROR] Error: The model "gpt-3.5-turbo" is disabled in this space.</v>
      </c>
      <c r="D123" s="4" t="s">
        <v>278</v>
      </c>
      <c r="F123" s="4" t="s">
        <v>308</v>
      </c>
    </row>
    <row r="124">
      <c r="A124" s="4" t="s">
        <v>309</v>
      </c>
      <c r="B124" s="4" t="s">
        <v>252</v>
      </c>
      <c r="C124" s="4" t="str">
        <f t="shared" si="4"/>
        <v>[GPT ERROR] Error: The model "gpt-3.5-turbo" is disabled in this space.</v>
      </c>
      <c r="D124" s="4" t="s">
        <v>310</v>
      </c>
      <c r="F124" s="4" t="s">
        <v>311</v>
      </c>
    </row>
    <row r="125">
      <c r="A125" s="4" t="s">
        <v>312</v>
      </c>
      <c r="B125" s="4" t="s">
        <v>313</v>
      </c>
      <c r="C125" s="4" t="str">
        <f t="shared" si="4"/>
        <v>[GPT ERROR] Error: The model "gpt-3.5-turbo" is disabled in this space.</v>
      </c>
      <c r="D125" s="4" t="s">
        <v>270</v>
      </c>
      <c r="F125" s="4" t="s">
        <v>314</v>
      </c>
    </row>
    <row r="126">
      <c r="A126" s="4" t="s">
        <v>315</v>
      </c>
      <c r="C126" s="4" t="str">
        <f t="shared" si="4"/>
        <v>[GPT ERROR] Error: The model "gpt-3.5-turbo" is disabled in this space.</v>
      </c>
      <c r="D126" s="4" t="s">
        <v>316</v>
      </c>
      <c r="F126" s="4" t="s">
        <v>317</v>
      </c>
    </row>
    <row r="127">
      <c r="A127" s="4" t="s">
        <v>318</v>
      </c>
      <c r="B127" s="4" t="s">
        <v>319</v>
      </c>
      <c r="C127" s="4" t="str">
        <f t="shared" si="4"/>
        <v>[GPT ERROR] Error: The model "gpt-3.5-turbo" is disabled in this space.</v>
      </c>
      <c r="D127" s="4" t="s">
        <v>257</v>
      </c>
      <c r="F127" s="4" t="s">
        <v>320</v>
      </c>
    </row>
    <row r="128">
      <c r="A128" s="4" t="s">
        <v>321</v>
      </c>
      <c r="B128" s="4" t="s">
        <v>322</v>
      </c>
      <c r="C128" s="4" t="str">
        <f t="shared" si="4"/>
        <v>[GPT ERROR] Error: The model "gpt-3.5-turbo" is disabled in this space.</v>
      </c>
      <c r="D128" s="4" t="s">
        <v>300</v>
      </c>
      <c r="F128" s="4" t="s">
        <v>323</v>
      </c>
    </row>
    <row r="129">
      <c r="A129" s="4" t="s">
        <v>58</v>
      </c>
      <c r="B129" s="4" t="s">
        <v>164</v>
      </c>
      <c r="C129" s="4" t="str">
        <f t="shared" si="4"/>
        <v>[GPT ERROR] Error: The model "gpt-3.5-turbo" is disabled in this space.</v>
      </c>
      <c r="D129" s="4" t="s">
        <v>68</v>
      </c>
    </row>
    <row r="130">
      <c r="A130" s="4" t="s">
        <v>324</v>
      </c>
      <c r="B130" s="4" t="s">
        <v>325</v>
      </c>
      <c r="C130" s="4" t="str">
        <f t="shared" si="4"/>
        <v>[GPT ERROR] Error: The model "gpt-3.5-turbo" is disabled in this space.</v>
      </c>
      <c r="D130" s="4" t="s">
        <v>284</v>
      </c>
      <c r="F130" s="4" t="s">
        <v>326</v>
      </c>
    </row>
    <row r="131">
      <c r="A131" s="4" t="s">
        <v>327</v>
      </c>
      <c r="B131" s="4" t="s">
        <v>319</v>
      </c>
      <c r="C131" s="4" t="str">
        <f t="shared" si="4"/>
        <v>[GPT ERROR] Error: The model "gpt-3.5-turbo" is disabled in this space.</v>
      </c>
      <c r="D131" s="4" t="s">
        <v>257</v>
      </c>
      <c r="F131" s="4" t="s">
        <v>328</v>
      </c>
    </row>
    <row r="132">
      <c r="A132" s="4" t="s">
        <v>329</v>
      </c>
      <c r="B132" s="4" t="s">
        <v>319</v>
      </c>
      <c r="C132" s="4" t="str">
        <f t="shared" si="4"/>
        <v>[GPT ERROR] Error: The model "gpt-3.5-turbo" is disabled in this space.</v>
      </c>
      <c r="D132" s="4" t="s">
        <v>281</v>
      </c>
      <c r="F132" s="4" t="s">
        <v>330</v>
      </c>
    </row>
    <row r="133">
      <c r="A133" s="4" t="s">
        <v>331</v>
      </c>
      <c r="B133" s="4" t="s">
        <v>332</v>
      </c>
      <c r="C133" s="4" t="str">
        <f t="shared" si="4"/>
        <v>[GPT ERROR] Error: The model "gpt-3.5-turbo" is disabled in this space.</v>
      </c>
      <c r="D133" s="4" t="s">
        <v>300</v>
      </c>
      <c r="F133" s="4" t="s">
        <v>333</v>
      </c>
    </row>
    <row r="134">
      <c r="A134" s="4" t="s">
        <v>334</v>
      </c>
      <c r="B134" s="4" t="s">
        <v>335</v>
      </c>
      <c r="C134" s="4" t="str">
        <f t="shared" si="4"/>
        <v>[GPT ERROR] Error: The model "gpt-3.5-turbo" is disabled in this space.</v>
      </c>
      <c r="D134" s="4" t="s">
        <v>310</v>
      </c>
      <c r="F134" s="4" t="s">
        <v>336</v>
      </c>
    </row>
    <row r="135">
      <c r="A135" s="4" t="s">
        <v>337</v>
      </c>
      <c r="B135" s="4" t="s">
        <v>338</v>
      </c>
      <c r="C135" s="4" t="str">
        <f t="shared" si="4"/>
        <v>[GPT ERROR] Error: The model "gpt-3.5-turbo" is disabled in this space.</v>
      </c>
      <c r="D135" s="4" t="s">
        <v>339</v>
      </c>
      <c r="F135" s="4" t="s">
        <v>340</v>
      </c>
    </row>
    <row r="136">
      <c r="A136" s="4" t="s">
        <v>341</v>
      </c>
      <c r="B136" s="4" t="s">
        <v>335</v>
      </c>
      <c r="C136" s="4" t="str">
        <f t="shared" si="4"/>
        <v>[GPT ERROR] Error: The model "gpt-3.5-turbo" is disabled in this space.</v>
      </c>
      <c r="D136" s="4" t="s">
        <v>284</v>
      </c>
      <c r="F136" s="4" t="s">
        <v>342</v>
      </c>
    </row>
    <row r="137">
      <c r="A137" s="4" t="s">
        <v>343</v>
      </c>
      <c r="B137" s="4" t="s">
        <v>344</v>
      </c>
      <c r="C137" s="4" t="str">
        <f t="shared" si="4"/>
        <v>[GPT ERROR] Error: The model "gpt-3.5-turbo" is disabled in this space.</v>
      </c>
      <c r="D137" s="4" t="s">
        <v>281</v>
      </c>
      <c r="F137" s="4" t="s">
        <v>345</v>
      </c>
    </row>
    <row r="138">
      <c r="A138" s="4" t="s">
        <v>346</v>
      </c>
      <c r="B138" s="4" t="s">
        <v>347</v>
      </c>
      <c r="C138" s="4" t="str">
        <f t="shared" si="4"/>
        <v>[GPT ERROR] Error: The model "gpt-3.5-turbo" is disabled in this space.</v>
      </c>
      <c r="D138" s="4" t="s">
        <v>257</v>
      </c>
      <c r="F138" s="4" t="s">
        <v>348</v>
      </c>
    </row>
    <row r="139">
      <c r="A139" s="4" t="s">
        <v>349</v>
      </c>
      <c r="B139" s="4" t="s">
        <v>350</v>
      </c>
      <c r="C139" s="4" t="str">
        <f t="shared" si="4"/>
        <v>[GPT ERROR] Error: The model "gpt-3.5-turbo" is disabled in this space.</v>
      </c>
      <c r="D139" s="4" t="s">
        <v>281</v>
      </c>
      <c r="F139" s="4" t="s">
        <v>351</v>
      </c>
    </row>
    <row r="140">
      <c r="A140" s="4" t="s">
        <v>352</v>
      </c>
      <c r="B140" s="4" t="s">
        <v>353</v>
      </c>
      <c r="C140" s="4" t="str">
        <f t="shared" si="4"/>
        <v>[GPT ERROR] Error: The model "gpt-3.5-turbo" is disabled in this space.</v>
      </c>
      <c r="D140" s="4" t="s">
        <v>300</v>
      </c>
      <c r="F140" s="4" t="s">
        <v>354</v>
      </c>
    </row>
    <row r="141">
      <c r="A141" s="4" t="s">
        <v>355</v>
      </c>
      <c r="B141" s="4" t="s">
        <v>249</v>
      </c>
      <c r="C141" s="4" t="str">
        <f t="shared" si="4"/>
        <v>[GPT ERROR] Error: The model "gpt-3.5-turbo" is disabled in this space.</v>
      </c>
      <c r="D141" s="4" t="s">
        <v>300</v>
      </c>
      <c r="F141" s="4" t="s">
        <v>356</v>
      </c>
    </row>
    <row r="142">
      <c r="A142" s="4" t="s">
        <v>357</v>
      </c>
      <c r="B142" s="4" t="s">
        <v>335</v>
      </c>
      <c r="C142" s="4" t="str">
        <f t="shared" si="4"/>
        <v>[GPT ERROR] Error: The model "gpt-3.5-turbo" is disabled in this space.</v>
      </c>
      <c r="D142" s="4" t="s">
        <v>257</v>
      </c>
    </row>
    <row r="143">
      <c r="A143" s="4" t="s">
        <v>358</v>
      </c>
      <c r="B143" s="4" t="s">
        <v>252</v>
      </c>
      <c r="C143" s="4" t="str">
        <f t="shared" si="4"/>
        <v>[GPT ERROR] Error: The model "gpt-3.5-turbo" is disabled in this space.</v>
      </c>
      <c r="D143" s="4" t="s">
        <v>359</v>
      </c>
      <c r="F143" s="4" t="s">
        <v>360</v>
      </c>
    </row>
    <row r="144">
      <c r="A144" s="4" t="s">
        <v>361</v>
      </c>
      <c r="B144" s="4" t="s">
        <v>362</v>
      </c>
      <c r="C144" s="4" t="str">
        <f t="shared" si="4"/>
        <v>[GPT ERROR] Error: The model "gpt-3.5-turbo" is disabled in this space.</v>
      </c>
      <c r="D144" s="4" t="s">
        <v>363</v>
      </c>
    </row>
    <row r="145">
      <c r="A145" s="4" t="s">
        <v>364</v>
      </c>
      <c r="B145" s="4" t="s">
        <v>299</v>
      </c>
      <c r="C145" s="4" t="str">
        <f t="shared" si="4"/>
        <v>[GPT ERROR] Error: The model "gpt-3.5-turbo" is disabled in this space.</v>
      </c>
      <c r="D145" s="4" t="s">
        <v>365</v>
      </c>
    </row>
    <row r="146">
      <c r="A146" s="4" t="s">
        <v>366</v>
      </c>
      <c r="B146" s="4" t="s">
        <v>367</v>
      </c>
      <c r="C146" s="4" t="str">
        <f t="shared" si="4"/>
        <v>[GPT ERROR] Error: The model "gpt-3.5-turbo" is disabled in this space.</v>
      </c>
      <c r="D146" s="4" t="s">
        <v>257</v>
      </c>
    </row>
    <row r="147">
      <c r="A147" s="4" t="s">
        <v>368</v>
      </c>
      <c r="B147" s="4" t="s">
        <v>369</v>
      </c>
      <c r="C147" s="4" t="str">
        <f t="shared" si="4"/>
        <v>[GPT ERROR] Error: The model "gpt-3.5-turbo" is disabled in this space.</v>
      </c>
      <c r="D147" s="4" t="s">
        <v>370</v>
      </c>
    </row>
    <row r="148">
      <c r="A148" s="4" t="s">
        <v>371</v>
      </c>
      <c r="B148" s="4" t="s">
        <v>372</v>
      </c>
      <c r="C148" s="4" t="str">
        <f t="shared" si="4"/>
        <v>[GPT ERROR] Error: The model "gpt-3.5-turbo" is disabled in this space.</v>
      </c>
      <c r="D148" s="4" t="s">
        <v>370</v>
      </c>
    </row>
    <row r="149">
      <c r="A149" s="4" t="s">
        <v>373</v>
      </c>
      <c r="B149" s="4" t="s">
        <v>374</v>
      </c>
      <c r="C149" s="4" t="str">
        <f t="shared" si="4"/>
        <v>[GPT ERROR] Error: The model "gpt-3.5-turbo" is disabled in this space.</v>
      </c>
      <c r="D149" s="4" t="s">
        <v>257</v>
      </c>
    </row>
    <row r="150">
      <c r="A150" s="4" t="s">
        <v>375</v>
      </c>
      <c r="B150" s="4" t="s">
        <v>376</v>
      </c>
      <c r="C150" s="4" t="str">
        <f t="shared" si="4"/>
        <v>[GPT ERROR] Error: The model "gpt-3.5-turbo" is disabled in this space.</v>
      </c>
      <c r="D150" s="4" t="s">
        <v>300</v>
      </c>
    </row>
    <row r="151">
      <c r="A151" s="4" t="s">
        <v>377</v>
      </c>
      <c r="B151" s="4" t="s">
        <v>252</v>
      </c>
      <c r="C151" s="4" t="str">
        <f t="shared" si="4"/>
        <v>[GPT ERROR] Error: The model "gpt-3.5-turbo" is disabled in this space.</v>
      </c>
      <c r="D151" s="4" t="s">
        <v>378</v>
      </c>
    </row>
    <row r="152">
      <c r="A152" s="4" t="s">
        <v>92</v>
      </c>
      <c r="B152" s="4" t="s">
        <v>379</v>
      </c>
      <c r="C152" s="4" t="str">
        <f t="shared" si="4"/>
        <v>[GPT ERROR] Error: The model "gpt-3.5-turbo" is disabled in this space.</v>
      </c>
      <c r="D152" s="4" t="s">
        <v>79</v>
      </c>
    </row>
    <row r="153">
      <c r="A153" s="4" t="s">
        <v>380</v>
      </c>
      <c r="B153" s="4" t="s">
        <v>299</v>
      </c>
      <c r="C153" s="4" t="str">
        <f t="shared" si="4"/>
        <v>[GPT ERROR] Error: The model "gpt-3.5-turbo" is disabled in this space.</v>
      </c>
      <c r="D153" s="4" t="s">
        <v>378</v>
      </c>
    </row>
    <row r="154">
      <c r="A154" s="4" t="s">
        <v>381</v>
      </c>
      <c r="B154" s="4" t="s">
        <v>287</v>
      </c>
      <c r="C154" s="4" t="str">
        <f t="shared" si="4"/>
        <v>[GPT ERROR] Error: The model "gpt-3.5-turbo" is disabled in this space.</v>
      </c>
      <c r="D154" s="4" t="s">
        <v>270</v>
      </c>
    </row>
    <row r="155">
      <c r="A155" s="4" t="s">
        <v>382</v>
      </c>
      <c r="B155" s="4" t="s">
        <v>376</v>
      </c>
      <c r="C155" s="4" t="str">
        <f t="shared" si="4"/>
        <v>[GPT ERROR] Error: The model "gpt-3.5-turbo" is disabled in this space.</v>
      </c>
      <c r="D155" s="4" t="s">
        <v>270</v>
      </c>
    </row>
    <row r="156">
      <c r="A156" s="4" t="s">
        <v>383</v>
      </c>
      <c r="B156" s="4" t="s">
        <v>319</v>
      </c>
      <c r="C156" s="4" t="str">
        <f t="shared" si="4"/>
        <v>[GPT ERROR] Error: The model "gpt-3.5-turbo" is disabled in this space.</v>
      </c>
      <c r="D156" s="4" t="s">
        <v>310</v>
      </c>
    </row>
    <row r="157">
      <c r="A157" s="4" t="s">
        <v>384</v>
      </c>
      <c r="B157" s="4" t="s">
        <v>287</v>
      </c>
      <c r="C157" s="4" t="str">
        <f t="shared" si="4"/>
        <v>[GPT ERROR] Error: The model "gpt-3.5-turbo" is disabled in this space.</v>
      </c>
      <c r="D157" s="4" t="s">
        <v>270</v>
      </c>
    </row>
    <row r="158">
      <c r="A158" s="4" t="s">
        <v>385</v>
      </c>
      <c r="B158" s="4" t="s">
        <v>287</v>
      </c>
      <c r="C158" s="4" t="str">
        <f t="shared" si="4"/>
        <v>[GPT ERROR] Error: The model "gpt-3.5-turbo" is disabled in this space.</v>
      </c>
      <c r="D158" s="4" t="s">
        <v>270</v>
      </c>
    </row>
    <row r="159">
      <c r="A159" s="4" t="s">
        <v>386</v>
      </c>
      <c r="B159" s="4" t="s">
        <v>287</v>
      </c>
      <c r="C159" s="4" t="str">
        <f t="shared" si="4"/>
        <v>[GPT ERROR] Error: The model "gpt-3.5-turbo" is disabled in this space.</v>
      </c>
      <c r="D159" s="4" t="s">
        <v>260</v>
      </c>
    </row>
    <row r="160">
      <c r="A160" s="4" t="s">
        <v>387</v>
      </c>
      <c r="B160" s="4" t="s">
        <v>299</v>
      </c>
      <c r="C160" s="4" t="str">
        <f t="shared" si="4"/>
        <v>[GPT ERROR] Error: The model "gpt-3.5-turbo" is disabled in this space.</v>
      </c>
      <c r="D160" s="4" t="s">
        <v>359</v>
      </c>
    </row>
    <row r="161">
      <c r="A161" s="4" t="s">
        <v>388</v>
      </c>
      <c r="B161" s="4" t="s">
        <v>353</v>
      </c>
      <c r="C161" s="4" t="str">
        <f t="shared" si="4"/>
        <v>[GPT ERROR] Error: The model "gpt-3.5-turbo" is disabled in this space.</v>
      </c>
      <c r="D161" s="4" t="s">
        <v>389</v>
      </c>
    </row>
    <row r="162">
      <c r="A162" s="4" t="s">
        <v>390</v>
      </c>
      <c r="B162" s="4" t="s">
        <v>376</v>
      </c>
      <c r="C162" s="4" t="str">
        <f t="shared" si="4"/>
        <v>[GPT ERROR] Error: The model "gpt-3.5-turbo" is disabled in this space.</v>
      </c>
      <c r="D162" s="4" t="s">
        <v>270</v>
      </c>
    </row>
    <row r="163">
      <c r="A163" s="4" t="s">
        <v>391</v>
      </c>
      <c r="B163" s="4" t="s">
        <v>287</v>
      </c>
      <c r="C163" s="4" t="str">
        <f t="shared" si="4"/>
        <v>[GPT ERROR] Error: The model "gpt-3.5-turbo" is disabled in this space.</v>
      </c>
      <c r="D163" s="4" t="s">
        <v>270</v>
      </c>
    </row>
    <row r="164">
      <c r="A164" s="4" t="s">
        <v>392</v>
      </c>
      <c r="B164" s="4" t="s">
        <v>362</v>
      </c>
      <c r="C164" s="4" t="str">
        <f t="shared" si="4"/>
        <v>[GPT ERROR] Error: The model "gpt-3.5-turbo" is disabled in this space.</v>
      </c>
      <c r="D164" s="4" t="s">
        <v>363</v>
      </c>
    </row>
    <row r="165">
      <c r="A165" s="4" t="s">
        <v>393</v>
      </c>
      <c r="B165" s="4" t="s">
        <v>319</v>
      </c>
      <c r="C165" s="4" t="str">
        <f t="shared" si="4"/>
        <v>[GPT ERROR] Error: The model "gpt-3.5-turbo" is disabled in this space.</v>
      </c>
      <c r="D165" s="4" t="s">
        <v>257</v>
      </c>
    </row>
    <row r="166">
      <c r="A166" s="4" t="s">
        <v>394</v>
      </c>
      <c r="B166" s="4" t="s">
        <v>299</v>
      </c>
      <c r="C166" s="4" t="str">
        <f t="shared" si="4"/>
        <v>[GPT ERROR] Error: The model "gpt-3.5-turbo" is disabled in this space.</v>
      </c>
      <c r="D166" s="4" t="s">
        <v>378</v>
      </c>
    </row>
    <row r="167">
      <c r="A167" s="4" t="s">
        <v>395</v>
      </c>
      <c r="B167" s="4" t="s">
        <v>396</v>
      </c>
      <c r="C167" s="4" t="str">
        <f t="shared" si="4"/>
        <v>[GPT ERROR] Error: The model "gpt-3.5-turbo" is disabled in this space.</v>
      </c>
      <c r="D167" s="4" t="s">
        <v>257</v>
      </c>
    </row>
    <row r="168">
      <c r="A168" s="4" t="s">
        <v>397</v>
      </c>
      <c r="B168" s="4" t="s">
        <v>319</v>
      </c>
      <c r="C168" s="4" t="str">
        <f t="shared" si="4"/>
        <v>[GPT ERROR] Error: The model "gpt-3.5-turbo" is disabled in this space.</v>
      </c>
      <c r="D168" s="4" t="s">
        <v>378</v>
      </c>
    </row>
    <row r="169">
      <c r="A169" s="4" t="s">
        <v>398</v>
      </c>
      <c r="B169" s="4" t="s">
        <v>299</v>
      </c>
      <c r="C169" s="4" t="str">
        <f t="shared" si="4"/>
        <v>[GPT ERROR] Error: The model "gpt-3.5-turbo" is disabled in this space.</v>
      </c>
      <c r="D169" s="4" t="s">
        <v>378</v>
      </c>
    </row>
    <row r="170">
      <c r="A170" s="4" t="s">
        <v>399</v>
      </c>
      <c r="B170" s="4" t="s">
        <v>400</v>
      </c>
      <c r="C170" s="4" t="str">
        <f t="shared" si="4"/>
        <v>[GPT ERROR] Error: The model "gpt-3.5-turbo" is disabled in this space.</v>
      </c>
      <c r="D170" s="4" t="s">
        <v>300</v>
      </c>
    </row>
    <row r="171">
      <c r="A171" s="4" t="s">
        <v>401</v>
      </c>
      <c r="B171" s="4" t="s">
        <v>266</v>
      </c>
      <c r="C171" s="4" t="str">
        <f t="shared" si="4"/>
        <v>[GPT ERROR] Error: The model "gpt-3.5-turbo" is disabled in this space.</v>
      </c>
      <c r="D171" s="4" t="s">
        <v>300</v>
      </c>
    </row>
    <row r="172">
      <c r="A172" s="4" t="s">
        <v>402</v>
      </c>
      <c r="B172" s="4" t="s">
        <v>252</v>
      </c>
      <c r="C172" s="4" t="str">
        <f t="shared" si="4"/>
        <v>[GPT ERROR] Error: The model "gpt-3.5-turbo" is disabled in this space.</v>
      </c>
      <c r="D172" s="4" t="s">
        <v>270</v>
      </c>
    </row>
    <row r="173">
      <c r="A173" s="4" t="s">
        <v>403</v>
      </c>
      <c r="B173" s="4" t="s">
        <v>404</v>
      </c>
      <c r="C173" s="4" t="str">
        <f t="shared" si="4"/>
        <v>[GPT ERROR] Error: The model "gpt-3.5-turbo" is disabled in this space.</v>
      </c>
    </row>
    <row r="174">
      <c r="A174" s="4" t="s">
        <v>405</v>
      </c>
      <c r="B174" s="4" t="s">
        <v>406</v>
      </c>
      <c r="C174" s="4" t="str">
        <f t="shared" si="4"/>
        <v>[GPT ERROR] Error: The model "gpt-3.5-turbo" is disabled in this space.</v>
      </c>
      <c r="D174" s="4" t="s">
        <v>300</v>
      </c>
    </row>
    <row r="175">
      <c r="A175" s="4" t="s">
        <v>407</v>
      </c>
      <c r="B175" s="4" t="s">
        <v>266</v>
      </c>
      <c r="C175" s="4" t="str">
        <f t="shared" si="4"/>
        <v>[GPT ERROR] Error: The model "gpt-3.5-turbo" is disabled in this space.</v>
      </c>
      <c r="D175" s="4" t="s">
        <v>270</v>
      </c>
    </row>
    <row r="176">
      <c r="A176" s="4" t="s">
        <v>408</v>
      </c>
      <c r="B176" s="4" t="s">
        <v>252</v>
      </c>
      <c r="C176" s="4" t="str">
        <f t="shared" si="4"/>
        <v>[GPT ERROR] Error: The model "gpt-3.5-turbo" is disabled in this space.</v>
      </c>
      <c r="D176" s="4" t="s">
        <v>378</v>
      </c>
    </row>
    <row r="177">
      <c r="A177" s="4" t="s">
        <v>409</v>
      </c>
      <c r="B177" s="4" t="s">
        <v>322</v>
      </c>
      <c r="C177" s="4" t="str">
        <f t="shared" si="4"/>
        <v>[GPT ERROR] Error: The model "gpt-3.5-turbo" is disabled in this space.</v>
      </c>
      <c r="D177" s="4" t="s">
        <v>300</v>
      </c>
    </row>
    <row r="178">
      <c r="A178" s="4" t="s">
        <v>410</v>
      </c>
      <c r="B178" s="4" t="s">
        <v>299</v>
      </c>
      <c r="C178" s="4" t="str">
        <f t="shared" si="4"/>
        <v>[GPT ERROR] Error: The model "gpt-3.5-turbo" is disabled in this space.</v>
      </c>
      <c r="D178" s="4" t="s">
        <v>300</v>
      </c>
    </row>
    <row r="179">
      <c r="A179" s="4" t="s">
        <v>411</v>
      </c>
      <c r="B179" s="4" t="s">
        <v>376</v>
      </c>
      <c r="C179" s="4" t="str">
        <f t="shared" si="4"/>
        <v>[GPT ERROR] Error: The model "gpt-3.5-turbo" is disabled in this space.</v>
      </c>
      <c r="D179" s="4" t="s">
        <v>270</v>
      </c>
    </row>
    <row r="180">
      <c r="A180" s="4" t="s">
        <v>412</v>
      </c>
      <c r="B180" s="4" t="s">
        <v>252</v>
      </c>
      <c r="C180" s="4" t="str">
        <f t="shared" si="4"/>
        <v>[GPT ERROR] Error: The model "gpt-3.5-turbo" is disabled in this space.</v>
      </c>
      <c r="D180" s="4" t="s">
        <v>316</v>
      </c>
    </row>
    <row r="181">
      <c r="A181" s="4" t="s">
        <v>413</v>
      </c>
      <c r="B181" s="4" t="s">
        <v>332</v>
      </c>
      <c r="C181" s="4" t="str">
        <f t="shared" si="4"/>
        <v>[GPT ERROR] Error: The model "gpt-3.5-turbo" is disabled in this space.</v>
      </c>
      <c r="D181" s="4" t="s">
        <v>310</v>
      </c>
    </row>
    <row r="182">
      <c r="A182" s="4" t="s">
        <v>414</v>
      </c>
      <c r="B182" s="4" t="s">
        <v>322</v>
      </c>
      <c r="C182" s="4" t="str">
        <f t="shared" si="4"/>
        <v>[GPT ERROR] Error: The model "gpt-3.5-turbo" is disabled in this space.</v>
      </c>
      <c r="D182" s="4" t="s">
        <v>300</v>
      </c>
    </row>
    <row r="183">
      <c r="A183" s="4" t="s">
        <v>415</v>
      </c>
      <c r="B183" s="4" t="s">
        <v>376</v>
      </c>
      <c r="C183" s="4" t="str">
        <f t="shared" si="4"/>
        <v>[GPT ERROR] Error: The model "gpt-3.5-turbo" is disabled in this space.</v>
      </c>
      <c r="D183" s="4" t="s">
        <v>300</v>
      </c>
    </row>
    <row r="184">
      <c r="A184" s="4" t="s">
        <v>416</v>
      </c>
      <c r="B184" s="4" t="s">
        <v>376</v>
      </c>
      <c r="C184" s="4" t="str">
        <f t="shared" si="4"/>
        <v>[GPT ERROR] Error: The model "gpt-3.5-turbo" is disabled in this space.</v>
      </c>
      <c r="D184" s="4" t="s">
        <v>270</v>
      </c>
    </row>
    <row r="185">
      <c r="A185" s="4" t="s">
        <v>417</v>
      </c>
      <c r="B185" s="4" t="s">
        <v>400</v>
      </c>
      <c r="C185" s="4" t="str">
        <f t="shared" si="4"/>
        <v>[GPT ERROR] Error: The model "gpt-3.5-turbo" is disabled in this space.</v>
      </c>
      <c r="D185" s="4" t="s">
        <v>270</v>
      </c>
    </row>
    <row r="186">
      <c r="A186" s="4" t="s">
        <v>418</v>
      </c>
      <c r="B186" s="4" t="s">
        <v>419</v>
      </c>
      <c r="C186" s="4" t="str">
        <f t="shared" si="4"/>
        <v>[GPT ERROR] Error: The model "gpt-3.5-turbo" is disabled in this space.</v>
      </c>
      <c r="D186" s="4" t="s">
        <v>270</v>
      </c>
    </row>
    <row r="187">
      <c r="A187" s="4" t="s">
        <v>420</v>
      </c>
      <c r="B187" s="4" t="s">
        <v>367</v>
      </c>
      <c r="C187" s="4" t="str">
        <f t="shared" si="4"/>
        <v>[GPT ERROR] Error: The model "gpt-3.5-turbo" is disabled in this space.</v>
      </c>
      <c r="D187" s="4" t="s">
        <v>270</v>
      </c>
    </row>
    <row r="188">
      <c r="A188" s="4" t="s">
        <v>421</v>
      </c>
      <c r="B188" s="4" t="s">
        <v>419</v>
      </c>
      <c r="C188" s="4" t="str">
        <f t="shared" si="4"/>
        <v>[GPT ERROR] Error: The model "gpt-3.5-turbo" is disabled in this space.</v>
      </c>
      <c r="D188" s="4" t="s">
        <v>260</v>
      </c>
    </row>
    <row r="189">
      <c r="A189" s="4" t="s">
        <v>422</v>
      </c>
      <c r="B189" s="4" t="s">
        <v>376</v>
      </c>
      <c r="C189" s="4" t="str">
        <f t="shared" si="4"/>
        <v>[GPT ERROR] Error: The model "gpt-3.5-turbo" is disabled in this space.</v>
      </c>
      <c r="D189" s="4" t="s">
        <v>300</v>
      </c>
    </row>
    <row r="190">
      <c r="A190" s="4" t="s">
        <v>423</v>
      </c>
      <c r="B190" s="4" t="s">
        <v>287</v>
      </c>
      <c r="C190" s="4" t="str">
        <f t="shared" si="4"/>
        <v>[GPT ERROR] Error: The model "gpt-3.5-turbo" is disabled in this space.</v>
      </c>
      <c r="D190" s="4" t="s">
        <v>270</v>
      </c>
    </row>
    <row r="191">
      <c r="A191" s="4" t="s">
        <v>424</v>
      </c>
      <c r="B191" s="4" t="s">
        <v>425</v>
      </c>
      <c r="C191" s="4" t="str">
        <f t="shared" si="4"/>
        <v>[GPT ERROR] Error: The model "gpt-3.5-turbo" is disabled in this space.</v>
      </c>
      <c r="D191" s="4" t="s">
        <v>257</v>
      </c>
    </row>
    <row r="192">
      <c r="A192" s="4" t="s">
        <v>426</v>
      </c>
      <c r="B192" s="4" t="s">
        <v>404</v>
      </c>
      <c r="C192" s="4" t="str">
        <f t="shared" si="4"/>
        <v>[GPT ERROR] Error: The model "gpt-3.5-turbo" is disabled in this space.</v>
      </c>
      <c r="D192" s="4" t="s">
        <v>257</v>
      </c>
    </row>
    <row r="193">
      <c r="A193" s="4" t="s">
        <v>427</v>
      </c>
      <c r="B193" s="4" t="s">
        <v>428</v>
      </c>
      <c r="C193" s="4" t="str">
        <f t="shared" si="4"/>
        <v>[GPT ERROR] Error: The model "gpt-3.5-turbo" is disabled in this space.</v>
      </c>
      <c r="D193" s="4" t="s">
        <v>359</v>
      </c>
    </row>
    <row r="194">
      <c r="A194" s="4" t="s">
        <v>429</v>
      </c>
      <c r="B194" s="4" t="s">
        <v>430</v>
      </c>
      <c r="C194" s="4" t="str">
        <f t="shared" si="4"/>
        <v>[GPT ERROR] Error: The model "gpt-3.5-turbo" is disabled in this space.</v>
      </c>
      <c r="D194" s="4" t="s">
        <v>431</v>
      </c>
    </row>
    <row r="195">
      <c r="A195" s="4" t="s">
        <v>432</v>
      </c>
      <c r="B195" s="4" t="s">
        <v>287</v>
      </c>
      <c r="C195" s="4" t="str">
        <f t="shared" si="4"/>
        <v>[GPT ERROR] Error: The model "gpt-3.5-turbo" is disabled in this space.</v>
      </c>
      <c r="D195" s="4" t="s">
        <v>300</v>
      </c>
    </row>
    <row r="196">
      <c r="A196" s="4" t="s">
        <v>433</v>
      </c>
      <c r="B196" s="4" t="s">
        <v>372</v>
      </c>
      <c r="C196" s="4" t="str">
        <f t="shared" si="4"/>
        <v>[GPT ERROR] Error: The model "gpt-3.5-turbo" is disabled in this space.</v>
      </c>
      <c r="D196" s="4" t="s">
        <v>257</v>
      </c>
    </row>
    <row r="197">
      <c r="A197" s="4" t="s">
        <v>434</v>
      </c>
      <c r="B197" s="4" t="s">
        <v>435</v>
      </c>
      <c r="C197" s="4" t="str">
        <f t="shared" si="4"/>
        <v>[GPT ERROR] Error: The model "gpt-3.5-turbo" is disabled in this space.</v>
      </c>
      <c r="D197" s="4" t="s">
        <v>12</v>
      </c>
    </row>
    <row r="198">
      <c r="A198" s="4" t="s">
        <v>436</v>
      </c>
      <c r="B198" s="4" t="s">
        <v>437</v>
      </c>
      <c r="C198" s="4" t="str">
        <f t="shared" si="4"/>
        <v>[GPT ERROR] Error: The model "gpt-3.5-turbo" is disabled in this space.</v>
      </c>
      <c r="D198" s="4" t="s">
        <v>260</v>
      </c>
    </row>
    <row r="199">
      <c r="A199" s="4" t="s">
        <v>438</v>
      </c>
      <c r="B199" s="4" t="s">
        <v>439</v>
      </c>
      <c r="C199" s="4" t="str">
        <f t="shared" si="4"/>
        <v>[GPT ERROR] Error: The model "gpt-3.5-turbo" is disabled in this space.</v>
      </c>
      <c r="D199" s="4" t="s">
        <v>257</v>
      </c>
    </row>
    <row r="200">
      <c r="A200" s="4" t="s">
        <v>440</v>
      </c>
      <c r="B200" s="4" t="s">
        <v>441</v>
      </c>
      <c r="C200" s="4" t="str">
        <f t="shared" si="4"/>
        <v>[GPT ERROR] Error: The model "gpt-3.5-turbo" is disabled in this space.</v>
      </c>
    </row>
    <row r="201">
      <c r="A201" s="4" t="s">
        <v>442</v>
      </c>
      <c r="B201" s="4" t="s">
        <v>419</v>
      </c>
      <c r="C201" s="4" t="str">
        <f t="shared" si="4"/>
        <v>[GPT ERROR] Error: The model "gpt-3.5-turbo" is disabled in this space.</v>
      </c>
      <c r="D201" s="4" t="s">
        <v>310</v>
      </c>
    </row>
    <row r="202">
      <c r="A202" s="4" t="s">
        <v>443</v>
      </c>
      <c r="C202" s="4" t="str">
        <f t="shared" si="4"/>
        <v>[GPT ERROR] Error: The model "gpt-3.5-turbo" is disabled in this space.</v>
      </c>
      <c r="D202" s="4" t="s">
        <v>257</v>
      </c>
    </row>
    <row r="203">
      <c r="A203" s="4" t="s">
        <v>444</v>
      </c>
      <c r="C203" s="4" t="str">
        <f t="shared" si="4"/>
        <v>[GPT ERROR] Error: The model "gpt-3.5-turbo" is disabled in this space.</v>
      </c>
      <c r="D203" s="4" t="s">
        <v>281</v>
      </c>
    </row>
    <row r="204">
      <c r="A204" s="4" t="s">
        <v>445</v>
      </c>
      <c r="B204" s="4" t="s">
        <v>446</v>
      </c>
      <c r="C204" s="4" t="str">
        <f t="shared" si="4"/>
        <v>[GPT ERROR] Error: The model "gpt-3.5-turbo" is disabled in this space.</v>
      </c>
      <c r="D204" s="4" t="s">
        <v>300</v>
      </c>
    </row>
    <row r="205">
      <c r="A205" s="4" t="s">
        <v>447</v>
      </c>
      <c r="B205" s="4" t="s">
        <v>95</v>
      </c>
      <c r="C205" s="4" t="str">
        <f t="shared" si="4"/>
        <v>[GPT ERROR] Error: The model "gpt-3.5-turbo" is disabled in this space.</v>
      </c>
      <c r="D205" s="4" t="s">
        <v>60</v>
      </c>
    </row>
    <row r="206">
      <c r="A206" s="4" t="s">
        <v>448</v>
      </c>
      <c r="B206" s="4" t="s">
        <v>449</v>
      </c>
      <c r="C206" s="4" t="str">
        <f t="shared" si="4"/>
        <v>[GPT ERROR] Error: The model "gpt-3.5-turbo" is disabled in this space.</v>
      </c>
      <c r="D206" s="4" t="s">
        <v>270</v>
      </c>
    </row>
    <row r="207">
      <c r="A207" s="4" t="s">
        <v>450</v>
      </c>
      <c r="B207" s="4" t="s">
        <v>451</v>
      </c>
      <c r="C207" s="4" t="str">
        <f t="shared" si="4"/>
        <v>[GPT ERROR] Error: The model "gpt-3.5-turbo" is disabled in this space.</v>
      </c>
      <c r="D207" s="4" t="s">
        <v>270</v>
      </c>
    </row>
    <row r="208">
      <c r="A208" s="4" t="s">
        <v>452</v>
      </c>
      <c r="B208" s="4" t="s">
        <v>453</v>
      </c>
      <c r="C208" s="4" t="str">
        <f t="shared" si="4"/>
        <v>[GPT ERROR] Error: The model "gpt-3.5-turbo" is disabled in this space.</v>
      </c>
      <c r="D208" s="4" t="s">
        <v>300</v>
      </c>
    </row>
    <row r="209">
      <c r="A209" s="4" t="s">
        <v>454</v>
      </c>
      <c r="B209" s="4" t="s">
        <v>455</v>
      </c>
      <c r="C209" s="4" t="str">
        <f t="shared" si="4"/>
        <v>[GPT ERROR] Error: The model "gpt-3.5-turbo" is disabled in this space.</v>
      </c>
      <c r="D209" s="4" t="s">
        <v>257</v>
      </c>
    </row>
    <row r="210">
      <c r="A210" s="4" t="s">
        <v>456</v>
      </c>
      <c r="C210" s="4" t="str">
        <f t="shared" si="4"/>
        <v>[GPT ERROR] Error: The model "gpt-3.5-turbo" is disabled in this space.</v>
      </c>
      <c r="D210" s="4" t="s">
        <v>270</v>
      </c>
    </row>
    <row r="211">
      <c r="A211" s="4" t="s">
        <v>457</v>
      </c>
      <c r="C211" s="4" t="str">
        <f t="shared" si="4"/>
        <v>[GPT ERROR] Error: The model "gpt-3.5-turbo" is disabled in this space.</v>
      </c>
      <c r="D211" s="4" t="s">
        <v>310</v>
      </c>
    </row>
    <row r="212">
      <c r="A212" s="4" t="s">
        <v>458</v>
      </c>
      <c r="B212" s="4" t="s">
        <v>455</v>
      </c>
      <c r="C212" s="4" t="str">
        <f t="shared" si="4"/>
        <v>[GPT ERROR] Error: The model "gpt-3.5-turbo" is disabled in this space.</v>
      </c>
      <c r="D212" s="4" t="s">
        <v>359</v>
      </c>
    </row>
    <row r="213">
      <c r="A213" s="4" t="s">
        <v>459</v>
      </c>
      <c r="B213" s="4" t="s">
        <v>460</v>
      </c>
      <c r="C213" s="4" t="str">
        <f t="shared" si="4"/>
        <v>[GPT ERROR] Error: The model "gpt-3.5-turbo" is disabled in this space.</v>
      </c>
      <c r="D213" s="4" t="s">
        <v>260</v>
      </c>
    </row>
    <row r="214">
      <c r="A214" s="4" t="s">
        <v>461</v>
      </c>
      <c r="B214" s="4" t="s">
        <v>462</v>
      </c>
      <c r="C214" s="4" t="str">
        <f t="shared" si="4"/>
        <v>[GPT ERROR] Error: The model "gpt-3.5-turbo" is disabled in this space.</v>
      </c>
      <c r="D214" s="4" t="s">
        <v>270</v>
      </c>
    </row>
    <row r="215">
      <c r="A215" s="4" t="s">
        <v>463</v>
      </c>
      <c r="C215" s="4" t="str">
        <f t="shared" si="4"/>
        <v>[GPT ERROR] Error: The model "gpt-3.5-turbo" is disabled in this space.</v>
      </c>
      <c r="D215" s="4" t="s">
        <v>310</v>
      </c>
    </row>
    <row r="216">
      <c r="A216" s="4" t="s">
        <v>464</v>
      </c>
      <c r="C216" s="4" t="str">
        <f t="shared" si="4"/>
        <v>[GPT ERROR] Error: The model "gpt-3.5-turbo" is disabled in this space.</v>
      </c>
      <c r="D216" s="4" t="s">
        <v>300</v>
      </c>
    </row>
    <row r="217">
      <c r="A217" s="4" t="s">
        <v>465</v>
      </c>
      <c r="C217" s="4" t="str">
        <f t="shared" si="4"/>
        <v>[GPT ERROR] Error: The model "gpt-3.5-turbo" is disabled in this space.</v>
      </c>
      <c r="D217" s="4" t="s">
        <v>466</v>
      </c>
    </row>
    <row r="218">
      <c r="A218" s="4" t="s">
        <v>467</v>
      </c>
      <c r="C218" s="4" t="str">
        <f t="shared" si="4"/>
        <v>[GPT ERROR] Error: The model "gpt-3.5-turbo" is disabled in this space.</v>
      </c>
      <c r="D218" s="4" t="s">
        <v>310</v>
      </c>
    </row>
    <row r="219">
      <c r="A219" s="4" t="s">
        <v>468</v>
      </c>
      <c r="C219" s="4" t="str">
        <f t="shared" si="4"/>
        <v>[GPT ERROR] Error: The model "gpt-3.5-turbo" is disabled in this space.</v>
      </c>
      <c r="D219" s="4" t="s">
        <v>270</v>
      </c>
    </row>
    <row r="220">
      <c r="A220" s="4" t="s">
        <v>469</v>
      </c>
      <c r="C220" s="4" t="str">
        <f t="shared" si="4"/>
        <v>[GPT ERROR] Error: The model "gpt-3.5-turbo" is disabled in this space.</v>
      </c>
      <c r="D220" s="4" t="s">
        <v>300</v>
      </c>
    </row>
    <row r="221">
      <c r="A221" s="4" t="s">
        <v>470</v>
      </c>
      <c r="B221" s="4" t="s">
        <v>471</v>
      </c>
      <c r="C221" s="4" t="str">
        <f t="shared" si="4"/>
        <v>[GPT ERROR] Error: The model "gpt-3.5-turbo" is disabled in this space.</v>
      </c>
      <c r="D221" s="4" t="s">
        <v>389</v>
      </c>
    </row>
    <row r="222">
      <c r="A222" s="4" t="s">
        <v>472</v>
      </c>
      <c r="B222" s="4" t="s">
        <v>473</v>
      </c>
      <c r="C222" s="4" t="str">
        <f t="shared" si="4"/>
        <v>[GPT ERROR] Error: The model "gpt-3.5-turbo" is disabled in this space.</v>
      </c>
      <c r="D222" s="4" t="s">
        <v>389</v>
      </c>
    </row>
    <row r="223">
      <c r="A223" s="4" t="s">
        <v>474</v>
      </c>
      <c r="B223" s="4" t="s">
        <v>475</v>
      </c>
      <c r="C223" s="4" t="str">
        <f t="shared" si="4"/>
        <v>[GPT ERROR] Error: The model "gpt-3.5-turbo" is disabled in this space.</v>
      </c>
      <c r="D223" s="4" t="s">
        <v>260</v>
      </c>
    </row>
    <row r="224">
      <c r="A224" s="4" t="s">
        <v>476</v>
      </c>
      <c r="C224" s="4" t="str">
        <f t="shared" si="4"/>
        <v>[GPT ERROR] Error: The model "gpt-3.5-turbo" is disabled in this space.</v>
      </c>
      <c r="D224" s="4" t="s">
        <v>300</v>
      </c>
    </row>
    <row r="225">
      <c r="A225" s="4" t="s">
        <v>477</v>
      </c>
      <c r="C225" s="4" t="str">
        <f t="shared" si="4"/>
        <v>[GPT ERROR] Error: The model "gpt-3.5-turbo" is disabled in this space.</v>
      </c>
      <c r="D225" s="4" t="s">
        <v>310</v>
      </c>
    </row>
    <row r="226">
      <c r="A226" s="4" t="s">
        <v>478</v>
      </c>
      <c r="C226" s="4" t="str">
        <f t="shared" si="4"/>
        <v>[GPT ERROR] Error: The model "gpt-3.5-turbo" is disabled in this space.</v>
      </c>
      <c r="D226" s="4" t="s">
        <v>479</v>
      </c>
    </row>
    <row r="227">
      <c r="A227" s="4" t="s">
        <v>480</v>
      </c>
      <c r="C227" s="4" t="str">
        <f t="shared" si="4"/>
        <v>[GPT ERROR] Error: The model "gpt-3.5-turbo" is disabled in this space.</v>
      </c>
      <c r="D227" s="4" t="s">
        <v>481</v>
      </c>
    </row>
    <row r="228">
      <c r="A228" s="4" t="s">
        <v>482</v>
      </c>
      <c r="C228" s="4" t="str">
        <f t="shared" si="4"/>
        <v>[GPT ERROR] Error: The model "gpt-3.5-turbo" is disabled in this space.</v>
      </c>
      <c r="D228" s="4" t="s">
        <v>310</v>
      </c>
    </row>
    <row r="229">
      <c r="A229" s="4" t="s">
        <v>483</v>
      </c>
      <c r="C229" s="4" t="str">
        <f t="shared" si="4"/>
        <v>[GPT ERROR] Error: The model "gpt-3.5-turbo" is disabled in this space.</v>
      </c>
      <c r="D229" s="4" t="s">
        <v>12</v>
      </c>
    </row>
    <row r="230">
      <c r="A230" s="4" t="s">
        <v>484</v>
      </c>
      <c r="C230" s="4" t="str">
        <f t="shared" si="4"/>
        <v>[GPT ERROR] Error: The model "gpt-3.5-turbo" is disabled in this space.</v>
      </c>
      <c r="D230" s="4" t="s">
        <v>300</v>
      </c>
    </row>
    <row r="231">
      <c r="A231" s="4" t="s">
        <v>485</v>
      </c>
      <c r="C231" s="4" t="str">
        <f t="shared" si="4"/>
        <v>[GPT ERROR] Error: The model "gpt-3.5-turbo" is disabled in this space.</v>
      </c>
      <c r="D231" s="4" t="s">
        <v>12</v>
      </c>
    </row>
    <row r="232">
      <c r="A232" s="4" t="s">
        <v>486</v>
      </c>
      <c r="C232" s="4" t="str">
        <f t="shared" si="4"/>
        <v>[GPT ERROR] Error: The model "gpt-3.5-turbo" is disabled in this space.</v>
      </c>
      <c r="D232" s="4" t="s">
        <v>359</v>
      </c>
    </row>
    <row r="233">
      <c r="A233" s="4" t="s">
        <v>487</v>
      </c>
      <c r="C233" s="4" t="str">
        <f t="shared" si="4"/>
        <v>[GPT ERROR] Error: The model "gpt-3.5-turbo" is disabled in this space.</v>
      </c>
      <c r="D233" s="4" t="s">
        <v>257</v>
      </c>
    </row>
    <row r="234">
      <c r="A234" s="4" t="s">
        <v>488</v>
      </c>
      <c r="C234" s="4" t="str">
        <f t="shared" si="4"/>
        <v>[GPT ERROR] Error: The model "gpt-3.5-turbo" is disabled in this space.</v>
      </c>
      <c r="D234" s="4" t="s">
        <v>300</v>
      </c>
    </row>
    <row r="235">
      <c r="A235" s="4" t="s">
        <v>489</v>
      </c>
      <c r="C235" s="4" t="str">
        <f t="shared" si="4"/>
        <v>[GPT ERROR] Error: The model "gpt-3.5-turbo" is disabled in this space.</v>
      </c>
      <c r="D235" s="4" t="s">
        <v>270</v>
      </c>
    </row>
    <row r="236">
      <c r="A236" s="4" t="s">
        <v>490</v>
      </c>
      <c r="C236" s="4" t="str">
        <f t="shared" si="4"/>
        <v>[GPT ERROR] Error: The model "gpt-3.5-turbo" is disabled in this space.</v>
      </c>
      <c r="D236" s="4" t="s">
        <v>491</v>
      </c>
    </row>
    <row r="237">
      <c r="A237" s="4" t="s">
        <v>492</v>
      </c>
      <c r="C237" s="4" t="str">
        <f t="shared" si="4"/>
        <v>[GPT ERROR] Error: The model "gpt-3.5-turbo" is disabled in this space.</v>
      </c>
      <c r="D237" s="4" t="s">
        <v>270</v>
      </c>
    </row>
    <row r="238">
      <c r="A238" s="4" t="s">
        <v>493</v>
      </c>
      <c r="C238" s="4" t="str">
        <f t="shared" si="4"/>
        <v>[GPT ERROR] Error: The model "gpt-3.5-turbo" is disabled in this space.</v>
      </c>
      <c r="D238" s="4" t="s">
        <v>260</v>
      </c>
    </row>
    <row r="239">
      <c r="A239" s="4" t="s">
        <v>494</v>
      </c>
      <c r="C239" s="4" t="str">
        <f t="shared" si="4"/>
        <v>[GPT ERROR] Error: The model "gpt-3.5-turbo" is disabled in this space.</v>
      </c>
      <c r="D239" s="4" t="s">
        <v>260</v>
      </c>
    </row>
    <row r="240">
      <c r="A240" s="4" t="s">
        <v>495</v>
      </c>
      <c r="C240" s="4" t="str">
        <f t="shared" si="4"/>
        <v>[GPT ERROR] Error: The model "gpt-3.5-turbo" is disabled in this space.</v>
      </c>
      <c r="D240" s="4" t="s">
        <v>310</v>
      </c>
    </row>
    <row r="241">
      <c r="A241" s="4" t="s">
        <v>496</v>
      </c>
      <c r="C241" s="4" t="str">
        <f t="shared" si="4"/>
        <v>[GPT ERROR] Error: The model "gpt-3.5-turbo" is disabled in this space.</v>
      </c>
      <c r="D241" s="4" t="s">
        <v>260</v>
      </c>
    </row>
    <row r="242">
      <c r="A242" s="4" t="s">
        <v>497</v>
      </c>
      <c r="C242" s="4" t="str">
        <f t="shared" si="4"/>
        <v>[GPT ERROR] Error: The model "gpt-3.5-turbo" is disabled in this space.</v>
      </c>
      <c r="D242" s="4" t="s">
        <v>359</v>
      </c>
    </row>
    <row r="243">
      <c r="A243" s="4" t="s">
        <v>498</v>
      </c>
      <c r="C243" s="4" t="str">
        <f t="shared" si="4"/>
        <v>[GPT ERROR] Error: The model "gpt-3.5-turbo" is disabled in this space.</v>
      </c>
      <c r="D243" s="4" t="s">
        <v>270</v>
      </c>
    </row>
    <row r="244">
      <c r="A244" s="4" t="s">
        <v>499</v>
      </c>
      <c r="C244" s="4" t="str">
        <f t="shared" si="4"/>
        <v>[GPT ERROR] Error: The model "gpt-3.5-turbo" is disabled in this space.</v>
      </c>
      <c r="D244" s="4" t="s">
        <v>260</v>
      </c>
    </row>
    <row r="245">
      <c r="A245" s="4" t="s">
        <v>500</v>
      </c>
      <c r="C245" s="4" t="str">
        <f t="shared" si="4"/>
        <v>[GPT ERROR] Error: The model "gpt-3.5-turbo" is disabled in this space.</v>
      </c>
    </row>
    <row r="246">
      <c r="A246" s="4" t="s">
        <v>501</v>
      </c>
      <c r="C246" s="4" t="str">
        <f t="shared" si="4"/>
        <v>[GPT ERROR] Error: The model "gpt-3.5-turbo" is disabled in this space.</v>
      </c>
      <c r="D246" s="4" t="s">
        <v>270</v>
      </c>
    </row>
    <row r="247">
      <c r="A247" s="4" t="s">
        <v>502</v>
      </c>
      <c r="C247" s="4" t="str">
        <f t="shared" si="4"/>
        <v>[GPT ERROR] Error: The model "gpt-3.5-turbo" is disabled in this space.</v>
      </c>
      <c r="D247" s="4" t="s">
        <v>257</v>
      </c>
    </row>
    <row r="248">
      <c r="A248" s="4" t="s">
        <v>503</v>
      </c>
      <c r="C248" s="4" t="str">
        <f t="shared" si="4"/>
        <v>[GPT ERROR] Error: The model "gpt-3.5-turbo" is disabled in this space.</v>
      </c>
      <c r="D248" s="4" t="s">
        <v>257</v>
      </c>
    </row>
    <row r="249">
      <c r="A249" s="4" t="s">
        <v>504</v>
      </c>
      <c r="C249" s="4" t="str">
        <f t="shared" si="4"/>
        <v>[GPT ERROR] Error: The model "gpt-3.5-turbo" is disabled in this space.</v>
      </c>
      <c r="D249" s="4" t="s">
        <v>505</v>
      </c>
    </row>
    <row r="250">
      <c r="A250" s="4" t="s">
        <v>506</v>
      </c>
      <c r="C250" s="4" t="str">
        <f t="shared" si="4"/>
        <v>[GPT ERROR] Error: The model "gpt-3.5-turbo" is disabled in this space.</v>
      </c>
      <c r="D250" s="4" t="s">
        <v>257</v>
      </c>
    </row>
    <row r="251">
      <c r="A251" s="4" t="s">
        <v>507</v>
      </c>
      <c r="C251" s="4" t="str">
        <f t="shared" si="4"/>
        <v>[GPT ERROR] Error: The model "gpt-3.5-turbo" is disabled in this space.</v>
      </c>
      <c r="D251" s="4" t="s">
        <v>359</v>
      </c>
    </row>
    <row r="252">
      <c r="A252" s="4" t="s">
        <v>508</v>
      </c>
      <c r="C252" s="4" t="str">
        <f t="shared" si="4"/>
        <v>[GPT ERROR] Error: The model "gpt-3.5-turbo" is disabled in this space.</v>
      </c>
      <c r="D252" s="4" t="s">
        <v>359</v>
      </c>
    </row>
    <row r="253">
      <c r="A253" s="4" t="s">
        <v>509</v>
      </c>
      <c r="C253" s="4" t="str">
        <f t="shared" si="4"/>
        <v>[GPT ERROR] Error: The model "gpt-3.5-turbo" is disabled in this space.</v>
      </c>
      <c r="D253" s="4" t="s">
        <v>300</v>
      </c>
    </row>
    <row r="254">
      <c r="A254" s="4" t="s">
        <v>510</v>
      </c>
      <c r="C254" s="4" t="str">
        <f t="shared" si="4"/>
        <v>[GPT ERROR] Error: The model "gpt-3.5-turbo" is disabled in this space.</v>
      </c>
      <c r="D254" s="4" t="s">
        <v>300</v>
      </c>
    </row>
    <row r="255">
      <c r="A255" s="4" t="s">
        <v>511</v>
      </c>
      <c r="C255" s="4" t="str">
        <f t="shared" si="4"/>
        <v>[GPT ERROR] Error: The model "gpt-3.5-turbo" is disabled in this space.</v>
      </c>
      <c r="D255" s="4" t="s">
        <v>12</v>
      </c>
    </row>
    <row r="256">
      <c r="A256" s="4" t="s">
        <v>512</v>
      </c>
      <c r="C256" s="4" t="str">
        <f t="shared" si="4"/>
        <v>[GPT ERROR] Error: The model "gpt-3.5-turbo" is disabled in this space.</v>
      </c>
      <c r="D256" s="4" t="s">
        <v>359</v>
      </c>
    </row>
    <row r="257">
      <c r="A257" s="4" t="s">
        <v>513</v>
      </c>
      <c r="C257" s="4" t="str">
        <f t="shared" si="4"/>
        <v>[GPT ERROR] Error: The model "gpt-3.5-turbo" is disabled in this space.</v>
      </c>
    </row>
    <row r="258">
      <c r="A258" s="4" t="s">
        <v>514</v>
      </c>
      <c r="C258" s="4" t="str">
        <f t="shared" si="4"/>
        <v>[GPT ERROR] Error: The model "gpt-3.5-turbo" is disabled in this space.</v>
      </c>
      <c r="D258" s="4" t="s">
        <v>270</v>
      </c>
    </row>
    <row r="259">
      <c r="A259" s="4" t="s">
        <v>515</v>
      </c>
      <c r="C259" s="4" t="str">
        <f t="shared" si="4"/>
        <v>[GPT ERROR] Error: The model "gpt-3.5-turbo" is disabled in this space.</v>
      </c>
      <c r="D259" s="4" t="s">
        <v>257</v>
      </c>
    </row>
    <row r="260">
      <c r="A260" s="4" t="s">
        <v>516</v>
      </c>
      <c r="C260" s="4" t="str">
        <f t="shared" si="4"/>
        <v>[GPT ERROR] Error: The model "gpt-3.5-turbo" is disabled in this space.</v>
      </c>
      <c r="D260" s="4" t="s">
        <v>253</v>
      </c>
    </row>
    <row r="261">
      <c r="A261" s="4" t="s">
        <v>517</v>
      </c>
      <c r="C261" s="4" t="str">
        <f t="shared" si="4"/>
        <v>[GPT ERROR] Error: The model "gpt-3.5-turbo" is disabled in this space.</v>
      </c>
      <c r="D261" s="4" t="s">
        <v>270</v>
      </c>
    </row>
    <row r="262">
      <c r="A262" s="4" t="s">
        <v>9</v>
      </c>
      <c r="C262" s="4" t="str">
        <f t="shared" si="4"/>
        <v>[GPT ERROR] Error: The model "gpt-3.5-turbo" is disabled in this space.</v>
      </c>
      <c r="D262" s="4" t="s">
        <v>12</v>
      </c>
    </row>
    <row r="263">
      <c r="A263" s="4" t="s">
        <v>518</v>
      </c>
      <c r="C263" s="4" t="str">
        <f t="shared" si="4"/>
        <v>[GPT ERROR] Error: The model "gpt-3.5-turbo" is disabled in this space.</v>
      </c>
      <c r="D263" s="4" t="s">
        <v>284</v>
      </c>
    </row>
    <row r="264">
      <c r="A264" s="4" t="s">
        <v>519</v>
      </c>
      <c r="C264" s="4" t="str">
        <f t="shared" si="4"/>
        <v>[GPT ERROR] Error: The model "gpt-3.5-turbo" is disabled in this space.</v>
      </c>
      <c r="D264" s="4" t="s">
        <v>270</v>
      </c>
    </row>
    <row r="265">
      <c r="A265" s="4" t="s">
        <v>520</v>
      </c>
      <c r="C265" s="4" t="str">
        <f t="shared" si="4"/>
        <v>[GPT ERROR] Error: The model "gpt-3.5-turbo" is disabled in this space.</v>
      </c>
      <c r="D265" s="4" t="s">
        <v>378</v>
      </c>
    </row>
    <row r="266">
      <c r="A266" s="4" t="s">
        <v>521</v>
      </c>
      <c r="C266" s="4" t="str">
        <f t="shared" si="4"/>
        <v>[GPT ERROR] Error: The model "gpt-3.5-turbo" is disabled in this space.</v>
      </c>
    </row>
    <row r="267">
      <c r="A267" s="4" t="s">
        <v>522</v>
      </c>
      <c r="C267" s="4" t="str">
        <f t="shared" si="4"/>
        <v>[GPT ERROR] Error: The model "gpt-3.5-turbo" is disabled in this space.</v>
      </c>
      <c r="D267" s="4" t="s">
        <v>310</v>
      </c>
    </row>
    <row r="268">
      <c r="A268" s="4" t="s">
        <v>523</v>
      </c>
      <c r="C268" s="4" t="str">
        <f t="shared" si="4"/>
        <v>[GPT ERROR] Error: The model "gpt-3.5-turbo" is disabled in this space.</v>
      </c>
      <c r="D268" s="4" t="s">
        <v>270</v>
      </c>
    </row>
    <row r="269">
      <c r="A269" s="4" t="s">
        <v>524</v>
      </c>
      <c r="C269" s="4" t="str">
        <f t="shared" si="4"/>
        <v>[GPT ERROR] Error: The model "gpt-3.5-turbo" is disabled in this space.</v>
      </c>
      <c r="D269" s="4" t="s">
        <v>270</v>
      </c>
    </row>
    <row r="270">
      <c r="A270" s="4" t="s">
        <v>525</v>
      </c>
      <c r="C270" s="4" t="str">
        <f t="shared" si="4"/>
        <v>[GPT ERROR] Error: The model "gpt-3.5-turbo" is disabled in this space.</v>
      </c>
      <c r="D270" s="4" t="s">
        <v>260</v>
      </c>
    </row>
    <row r="271">
      <c r="A271" s="4" t="s">
        <v>526</v>
      </c>
      <c r="C271" s="4" t="str">
        <f t="shared" si="4"/>
        <v>[GPT ERROR] Error: The model "gpt-3.5-turbo" is disabled in this space.</v>
      </c>
      <c r="D271" s="4" t="s">
        <v>300</v>
      </c>
    </row>
    <row r="272">
      <c r="A272" s="4" t="s">
        <v>527</v>
      </c>
      <c r="C272" s="4" t="str">
        <f t="shared" si="4"/>
        <v>[GPT ERROR] Error: The model "gpt-3.5-turbo" is disabled in this space.</v>
      </c>
      <c r="D272" s="4" t="s">
        <v>300</v>
      </c>
    </row>
    <row r="273">
      <c r="A273" s="4" t="s">
        <v>528</v>
      </c>
      <c r="C273" s="4" t="str">
        <f t="shared" si="4"/>
        <v>[GPT ERROR] Error: The model "gpt-3.5-turbo" is disabled in this space.</v>
      </c>
    </row>
    <row r="274">
      <c r="A274" s="4" t="s">
        <v>529</v>
      </c>
      <c r="C274" s="4" t="str">
        <f t="shared" si="4"/>
        <v>[GPT ERROR] Error: The model "gpt-3.5-turbo" is disabled in this space.</v>
      </c>
      <c r="D274" s="4" t="s">
        <v>257</v>
      </c>
    </row>
    <row r="275">
      <c r="A275" s="4" t="s">
        <v>530</v>
      </c>
      <c r="C275" s="4" t="str">
        <f t="shared" si="4"/>
        <v>[GPT ERROR] Error: The model "gpt-3.5-turbo" is disabled in this space.</v>
      </c>
      <c r="D275" s="4" t="s">
        <v>270</v>
      </c>
    </row>
    <row r="276">
      <c r="A276" s="4" t="s">
        <v>531</v>
      </c>
      <c r="C276" s="4" t="str">
        <f t="shared" si="4"/>
        <v>[GPT ERROR] Error: The model "gpt-3.5-turbo" is disabled in this space.</v>
      </c>
      <c r="D276" s="4" t="s">
        <v>300</v>
      </c>
    </row>
    <row r="277">
      <c r="A277" s="4" t="s">
        <v>532</v>
      </c>
      <c r="C277" s="4" t="str">
        <f t="shared" si="4"/>
        <v>[GPT ERROR] Error: The model "gpt-3.5-turbo" is disabled in this space.</v>
      </c>
      <c r="D277" s="4" t="s">
        <v>12</v>
      </c>
    </row>
    <row r="278">
      <c r="A278" s="4" t="s">
        <v>533</v>
      </c>
      <c r="C278" s="4" t="str">
        <f t="shared" si="4"/>
        <v>[GPT ERROR] Error: The model "gpt-3.5-turbo" is disabled in this space.</v>
      </c>
      <c r="D278" s="4" t="s">
        <v>310</v>
      </c>
    </row>
    <row r="279">
      <c r="A279" s="4" t="s">
        <v>534</v>
      </c>
      <c r="C279" s="4" t="str">
        <f t="shared" si="4"/>
        <v>[GPT ERROR] Error: The model "gpt-3.5-turbo" is disabled in this space.</v>
      </c>
      <c r="D279" s="4" t="s">
        <v>257</v>
      </c>
    </row>
    <row r="280">
      <c r="A280" s="4" t="s">
        <v>535</v>
      </c>
      <c r="C280" s="4" t="str">
        <f t="shared" si="4"/>
        <v>[GPT ERROR] Error: The model "gpt-3.5-turbo" is disabled in this space.</v>
      </c>
      <c r="D280" s="4" t="s">
        <v>12</v>
      </c>
    </row>
    <row r="281">
      <c r="A281" s="4" t="s">
        <v>536</v>
      </c>
      <c r="C281" s="4" t="str">
        <f t="shared" si="4"/>
        <v>[GPT ERROR] Error: The model "gpt-3.5-turbo" is disabled in this space.</v>
      </c>
      <c r="D281" s="4" t="s">
        <v>491</v>
      </c>
    </row>
    <row r="282">
      <c r="A282" s="4" t="s">
        <v>537</v>
      </c>
      <c r="C282" s="4" t="str">
        <f t="shared" si="4"/>
        <v>[GPT ERROR] Error: The model "gpt-3.5-turbo" is disabled in this space.</v>
      </c>
      <c r="D282" s="4" t="s">
        <v>310</v>
      </c>
    </row>
    <row r="283">
      <c r="A283" s="4" t="s">
        <v>538</v>
      </c>
      <c r="C283" s="4" t="str">
        <f t="shared" si="4"/>
        <v>[GPT ERROR] Error: The model "gpt-3.5-turbo" is disabled in this space.</v>
      </c>
      <c r="D283" s="4" t="s">
        <v>359</v>
      </c>
    </row>
    <row r="284">
      <c r="A284" s="4" t="s">
        <v>539</v>
      </c>
      <c r="C284" s="4" t="str">
        <f t="shared" si="4"/>
        <v>[GPT ERROR] Error: The model "gpt-3.5-turbo" is disabled in this space.</v>
      </c>
      <c r="D284" s="4" t="s">
        <v>260</v>
      </c>
    </row>
    <row r="285">
      <c r="A285" s="4" t="s">
        <v>540</v>
      </c>
      <c r="C285" s="4" t="str">
        <f t="shared" si="4"/>
        <v>[GPT ERROR] Error: The model "gpt-3.5-turbo" is disabled in this space.</v>
      </c>
      <c r="D285" s="4" t="s">
        <v>257</v>
      </c>
    </row>
    <row r="286">
      <c r="A286" s="4" t="s">
        <v>541</v>
      </c>
      <c r="C286" s="4" t="str">
        <f t="shared" si="4"/>
        <v>[GPT ERROR] Error: The model "gpt-3.5-turbo" is disabled in this space.</v>
      </c>
      <c r="D286" s="4" t="s">
        <v>270</v>
      </c>
    </row>
    <row r="287">
      <c r="A287" s="4" t="s">
        <v>542</v>
      </c>
      <c r="C287" s="4" t="str">
        <f t="shared" si="4"/>
        <v>[GPT ERROR] Error: The model "gpt-3.5-turbo" is disabled in this space.</v>
      </c>
      <c r="D287" s="4" t="s">
        <v>260</v>
      </c>
    </row>
    <row r="288">
      <c r="A288" s="4" t="s">
        <v>543</v>
      </c>
      <c r="C288" s="4" t="str">
        <f t="shared" si="4"/>
        <v>[GPT ERROR] Error: The model "gpt-3.5-turbo" is disabled in this space.</v>
      </c>
      <c r="D288" s="4" t="s">
        <v>260</v>
      </c>
    </row>
    <row r="289">
      <c r="A289" s="4" t="s">
        <v>544</v>
      </c>
      <c r="C289" s="4" t="str">
        <f t="shared" si="4"/>
        <v>[GPT ERROR] Error: The model "gpt-3.5-turbo" is disabled in this space.</v>
      </c>
      <c r="D289" s="4" t="s">
        <v>481</v>
      </c>
    </row>
    <row r="290">
      <c r="A290" s="4" t="s">
        <v>545</v>
      </c>
      <c r="C290" s="4" t="str">
        <f t="shared" si="4"/>
        <v>[GPT ERROR] Error: The model "gpt-3.5-turbo" is disabled in this space.</v>
      </c>
      <c r="D290" s="4" t="s">
        <v>257</v>
      </c>
    </row>
    <row r="291">
      <c r="A291" s="4" t="s">
        <v>546</v>
      </c>
      <c r="C291" s="4" t="str">
        <f t="shared" si="4"/>
        <v>[GPT ERROR] Error: The model "gpt-3.5-turbo" is disabled in this space.</v>
      </c>
      <c r="D291" s="4" t="s">
        <v>300</v>
      </c>
    </row>
    <row r="292">
      <c r="A292" s="4" t="s">
        <v>547</v>
      </c>
      <c r="C292" s="4" t="str">
        <f t="shared" si="4"/>
        <v>[GPT ERROR] Error: The model "gpt-3.5-turbo" is disabled in this space.</v>
      </c>
      <c r="D292" s="4" t="s">
        <v>12</v>
      </c>
    </row>
    <row r="293">
      <c r="A293" s="4" t="s">
        <v>548</v>
      </c>
      <c r="C293" s="4" t="str">
        <f t="shared" si="4"/>
        <v>[GPT ERROR] Error: The model "gpt-3.5-turbo" is disabled in this space.</v>
      </c>
      <c r="D293" s="4" t="s">
        <v>257</v>
      </c>
    </row>
    <row r="294">
      <c r="A294" s="4" t="s">
        <v>549</v>
      </c>
      <c r="C294" s="4" t="str">
        <f t="shared" si="4"/>
        <v>[GPT ERROR] Error: The model "gpt-3.5-turbo" is disabled in this space.</v>
      </c>
      <c r="D294" s="4" t="s">
        <v>310</v>
      </c>
    </row>
    <row r="295">
      <c r="A295" s="4" t="s">
        <v>550</v>
      </c>
      <c r="C295" s="4" t="str">
        <f t="shared" si="4"/>
        <v>[GPT ERROR] Error: The model "gpt-3.5-turbo" is disabled in this space.</v>
      </c>
      <c r="D295" s="4" t="s">
        <v>278</v>
      </c>
    </row>
    <row r="296">
      <c r="A296" s="4" t="s">
        <v>551</v>
      </c>
      <c r="C296" s="4" t="str">
        <f t="shared" si="4"/>
        <v>[GPT ERROR] Error: The model "gpt-3.5-turbo" is disabled in this space.</v>
      </c>
      <c r="D296" s="4" t="s">
        <v>316</v>
      </c>
    </row>
    <row r="297">
      <c r="A297" s="4" t="s">
        <v>552</v>
      </c>
      <c r="C297" s="4" t="str">
        <f t="shared" si="4"/>
        <v>[GPT ERROR] Error: The model "gpt-3.5-turbo" is disabled in this space.</v>
      </c>
      <c r="D297" s="4" t="s">
        <v>310</v>
      </c>
    </row>
    <row r="298">
      <c r="A298" s="4" t="s">
        <v>553</v>
      </c>
      <c r="C298" s="4" t="str">
        <f t="shared" si="4"/>
        <v>[GPT ERROR] Error: The model "gpt-3.5-turbo" is disabled in this space.</v>
      </c>
      <c r="D298" s="4" t="s">
        <v>310</v>
      </c>
    </row>
    <row r="299">
      <c r="A299" s="4" t="s">
        <v>554</v>
      </c>
      <c r="C299" s="4" t="str">
        <f t="shared" si="4"/>
        <v>[GPT ERROR] Error: The model "gpt-3.5-turbo" is disabled in this space.</v>
      </c>
      <c r="D299" s="4" t="s">
        <v>310</v>
      </c>
    </row>
    <row r="300">
      <c r="A300" s="4" t="s">
        <v>555</v>
      </c>
      <c r="C300" s="4" t="str">
        <f t="shared" si="4"/>
        <v>[GPT ERROR] Error: The model "gpt-3.5-turbo" is disabled in this space.</v>
      </c>
    </row>
    <row r="301">
      <c r="A301" s="4" t="s">
        <v>556</v>
      </c>
      <c r="C301" s="4" t="str">
        <f t="shared" si="4"/>
        <v>[GPT ERROR] Error: The model "gpt-3.5-turbo" is disabled in this space.</v>
      </c>
      <c r="D301" s="4" t="s">
        <v>365</v>
      </c>
    </row>
    <row r="302">
      <c r="A302" s="4" t="s">
        <v>557</v>
      </c>
      <c r="C302" s="4" t="str">
        <f t="shared" si="4"/>
        <v>[GPT ERROR] Error: The model "gpt-3.5-turbo" is disabled in this space.</v>
      </c>
      <c r="D302" s="4" t="s">
        <v>257</v>
      </c>
    </row>
    <row r="303">
      <c r="A303" s="4" t="s">
        <v>558</v>
      </c>
      <c r="C303" s="4" t="str">
        <f t="shared" si="4"/>
        <v>[GPT ERROR] Error: The model "gpt-3.5-turbo" is disabled in this space.</v>
      </c>
      <c r="D303" s="4" t="s">
        <v>491</v>
      </c>
    </row>
    <row r="304">
      <c r="A304" s="4" t="s">
        <v>559</v>
      </c>
      <c r="C304" s="4" t="str">
        <f t="shared" si="4"/>
        <v>[GPT ERROR] Error: The model "gpt-3.5-turbo" is disabled in this space.</v>
      </c>
      <c r="D304" s="4" t="s">
        <v>260</v>
      </c>
    </row>
    <row r="305">
      <c r="A305" s="4" t="s">
        <v>560</v>
      </c>
      <c r="C305" s="4" t="str">
        <f t="shared" si="4"/>
        <v>[GPT ERROR] Error: The model "gpt-3.5-turbo" is disabled in this space.</v>
      </c>
      <c r="D305" s="4" t="s">
        <v>270</v>
      </c>
    </row>
    <row r="306">
      <c r="A306" s="4" t="s">
        <v>561</v>
      </c>
      <c r="C306" s="4" t="str">
        <f t="shared" si="4"/>
        <v>[GPT ERROR] Error: The model "gpt-3.5-turbo" is disabled in this space.</v>
      </c>
      <c r="D306" s="4" t="s">
        <v>389</v>
      </c>
    </row>
    <row r="307">
      <c r="A307" s="4" t="s">
        <v>562</v>
      </c>
      <c r="C307" s="4" t="str">
        <f t="shared" si="4"/>
        <v>[GPT ERROR] Error: The model "gpt-3.5-turbo" is disabled in this space.</v>
      </c>
      <c r="D307" s="4" t="s">
        <v>310</v>
      </c>
    </row>
    <row r="308">
      <c r="A308" s="4" t="s">
        <v>563</v>
      </c>
      <c r="C308" s="4" t="str">
        <f t="shared" si="4"/>
        <v>[GPT ERROR] Error: The model "gpt-3.5-turbo" is disabled in this space.</v>
      </c>
      <c r="D308" s="4" t="s">
        <v>257</v>
      </c>
    </row>
    <row r="309">
      <c r="A309" s="4" t="s">
        <v>564</v>
      </c>
      <c r="C309" s="4" t="str">
        <f t="shared" si="4"/>
        <v>[GPT ERROR] Error: The model "gpt-3.5-turbo" is disabled in this space.</v>
      </c>
      <c r="D309" s="4" t="s">
        <v>365</v>
      </c>
    </row>
    <row r="310">
      <c r="A310" s="4" t="s">
        <v>565</v>
      </c>
      <c r="C310" s="4" t="str">
        <f t="shared" si="4"/>
        <v>[GPT ERROR] Error: The model "gpt-3.5-turbo" is disabled in this space.</v>
      </c>
      <c r="D310" s="4" t="s">
        <v>359</v>
      </c>
    </row>
    <row r="311">
      <c r="A311" s="4" t="s">
        <v>566</v>
      </c>
      <c r="C311" s="4" t="str">
        <f t="shared" si="4"/>
        <v>[GPT ERROR] Error: The model "gpt-3.5-turbo" is disabled in this space.</v>
      </c>
    </row>
    <row r="312">
      <c r="A312" s="4" t="s">
        <v>567</v>
      </c>
      <c r="C312" s="4" t="str">
        <f t="shared" si="4"/>
        <v>[GPT ERROR] Error: The model "gpt-3.5-turbo" is disabled in this space.</v>
      </c>
      <c r="D312" s="4" t="s">
        <v>389</v>
      </c>
    </row>
    <row r="313">
      <c r="A313" s="4" t="s">
        <v>568</v>
      </c>
      <c r="C313" s="4" t="str">
        <f t="shared" si="4"/>
        <v>[GPT ERROR] Error: The model "gpt-3.5-turbo" is disabled in this space.</v>
      </c>
      <c r="D313" s="4" t="s">
        <v>300</v>
      </c>
    </row>
    <row r="314">
      <c r="A314" s="4" t="s">
        <v>569</v>
      </c>
      <c r="C314" s="4" t="str">
        <f t="shared" si="4"/>
        <v>[GPT ERROR] Error: The model "gpt-3.5-turbo" is disabled in this space.</v>
      </c>
      <c r="D314" s="4" t="s">
        <v>257</v>
      </c>
    </row>
    <row r="315">
      <c r="A315" s="4" t="s">
        <v>570</v>
      </c>
      <c r="C315" s="4" t="str">
        <f t="shared" si="4"/>
        <v>[GPT ERROR] Error: The model "gpt-3.5-turbo" is disabled in this space.</v>
      </c>
      <c r="D315" s="4" t="s">
        <v>310</v>
      </c>
    </row>
    <row r="316">
      <c r="A316" s="4" t="s">
        <v>571</v>
      </c>
      <c r="C316" s="4" t="str">
        <f t="shared" si="4"/>
        <v>[GPT ERROR] Error: The model "gpt-3.5-turbo" is disabled in this space.</v>
      </c>
      <c r="D316" s="4" t="s">
        <v>300</v>
      </c>
    </row>
    <row r="317">
      <c r="A317" s="4" t="s">
        <v>572</v>
      </c>
      <c r="C317" s="4" t="str">
        <f t="shared" si="4"/>
        <v>[GPT ERROR] Error: The model "gpt-3.5-turbo" is disabled in this space.</v>
      </c>
      <c r="D317" s="4" t="s">
        <v>257</v>
      </c>
    </row>
    <row r="318">
      <c r="A318" s="4" t="s">
        <v>573</v>
      </c>
      <c r="C318" s="4" t="str">
        <f t="shared" si="4"/>
        <v>[GPT ERROR] Error: The model "gpt-3.5-turbo" is disabled in this space.</v>
      </c>
      <c r="D318" s="4" t="s">
        <v>270</v>
      </c>
    </row>
    <row r="319">
      <c r="A319" s="4" t="s">
        <v>574</v>
      </c>
      <c r="C319" s="4" t="str">
        <f t="shared" si="4"/>
        <v>[GPT ERROR] Error: The model "gpt-3.5-turbo" is disabled in this space.</v>
      </c>
      <c r="D319" s="4" t="s">
        <v>310</v>
      </c>
    </row>
    <row r="320">
      <c r="A320" s="4" t="s">
        <v>575</v>
      </c>
      <c r="C320" s="4" t="str">
        <f t="shared" si="4"/>
        <v>[GPT ERROR] Error: The model "gpt-3.5-turbo" is disabled in this space.</v>
      </c>
      <c r="D320" s="4" t="s">
        <v>359</v>
      </c>
    </row>
    <row r="321">
      <c r="A321" s="4" t="s">
        <v>576</v>
      </c>
      <c r="C321" s="4" t="str">
        <f t="shared" si="4"/>
        <v>[GPT ERROR] Error: The model "gpt-3.5-turbo" is disabled in this space.</v>
      </c>
      <c r="D321" s="4" t="s">
        <v>359</v>
      </c>
    </row>
    <row r="322">
      <c r="A322" s="4" t="s">
        <v>577</v>
      </c>
      <c r="C322" s="4" t="str">
        <f t="shared" si="4"/>
        <v>[GPT ERROR] Error: The model "gpt-3.5-turbo" is disabled in this space.</v>
      </c>
      <c r="D322" s="4" t="s">
        <v>260</v>
      </c>
    </row>
    <row r="323">
      <c r="A323" s="4" t="s">
        <v>578</v>
      </c>
      <c r="C323" s="4" t="str">
        <f t="shared" si="4"/>
        <v>[GPT ERROR] Error: The model "gpt-3.5-turbo" is disabled in this space.</v>
      </c>
      <c r="D323" s="4" t="s">
        <v>310</v>
      </c>
    </row>
    <row r="324">
      <c r="A324" s="4" t="s">
        <v>579</v>
      </c>
      <c r="C324" s="4" t="str">
        <f t="shared" si="4"/>
        <v>[GPT ERROR] Error: The model "gpt-3.5-turbo" is disabled in this space.</v>
      </c>
      <c r="D324" s="4" t="s">
        <v>270</v>
      </c>
    </row>
    <row r="325">
      <c r="A325" s="4" t="s">
        <v>4</v>
      </c>
      <c r="C325" s="4" t="str">
        <f t="shared" si="4"/>
        <v>[GPT ERROR] Error: The model "gpt-3.5-turbo" is disabled in this space.</v>
      </c>
      <c r="D325" s="4" t="s">
        <v>260</v>
      </c>
    </row>
    <row r="326">
      <c r="A326" s="4" t="s">
        <v>580</v>
      </c>
      <c r="C326" s="4" t="str">
        <f t="shared" si="4"/>
        <v>[GPT ERROR] Error: The model "gpt-3.5-turbo" is disabled in this space.</v>
      </c>
      <c r="D326" s="4" t="s">
        <v>300</v>
      </c>
    </row>
    <row r="327">
      <c r="A327" s="4" t="s">
        <v>581</v>
      </c>
      <c r="C327" s="4" t="str">
        <f t="shared" si="4"/>
        <v>[GPT ERROR] Error: The model "gpt-3.5-turbo" is disabled in this space.</v>
      </c>
      <c r="D327" s="4" t="s">
        <v>257</v>
      </c>
    </row>
    <row r="328">
      <c r="A328" s="4" t="s">
        <v>582</v>
      </c>
      <c r="C328" s="4" t="str">
        <f t="shared" si="4"/>
        <v>[GPT ERROR] Error: The model "gpt-3.5-turbo" is disabled in this space.</v>
      </c>
      <c r="D328" s="4" t="s">
        <v>310</v>
      </c>
    </row>
    <row r="329">
      <c r="A329" s="4" t="s">
        <v>583</v>
      </c>
      <c r="C329" s="4" t="str">
        <f t="shared" si="4"/>
        <v>[GPT ERROR] Error: The model "gpt-3.5-turbo" is disabled in this space.</v>
      </c>
      <c r="D329" s="4" t="s">
        <v>12</v>
      </c>
    </row>
    <row r="330">
      <c r="A330" s="4" t="s">
        <v>584</v>
      </c>
      <c r="B330" s="4" t="s">
        <v>585</v>
      </c>
      <c r="C330" s="4" t="str">
        <f t="shared" si="4"/>
        <v>[GPT ERROR] Error: The model "gpt-3.5-turbo" is disabled in this space.</v>
      </c>
      <c r="D330" s="4" t="s">
        <v>79</v>
      </c>
    </row>
    <row r="331">
      <c r="A331" s="4" t="s">
        <v>586</v>
      </c>
      <c r="C331" s="4" t="str">
        <f t="shared" si="4"/>
        <v>[GPT ERROR] Error: The model "gpt-3.5-turbo" is disabled in this space.</v>
      </c>
      <c r="D331" s="4" t="s">
        <v>359</v>
      </c>
    </row>
    <row r="332">
      <c r="A332" s="4" t="s">
        <v>587</v>
      </c>
      <c r="C332" s="4" t="str">
        <f t="shared" si="4"/>
        <v>[GPT ERROR] Error: The model "gpt-3.5-turbo" is disabled in this space.</v>
      </c>
      <c r="D332" s="4" t="s">
        <v>260</v>
      </c>
    </row>
    <row r="333">
      <c r="A333" s="4" t="s">
        <v>588</v>
      </c>
      <c r="C333" s="4" t="str">
        <f t="shared" si="4"/>
        <v>[GPT ERROR] Error: The model "gpt-3.5-turbo" is disabled in this space.</v>
      </c>
      <c r="D333" s="4" t="s">
        <v>257</v>
      </c>
    </row>
    <row r="334">
      <c r="A334" s="4" t="s">
        <v>589</v>
      </c>
      <c r="C334" s="4" t="str">
        <f t="shared" si="4"/>
        <v>[GPT ERROR] Error: The model "gpt-3.5-turbo" is disabled in this space.</v>
      </c>
      <c r="D334" s="4" t="s">
        <v>260</v>
      </c>
    </row>
    <row r="335">
      <c r="A335" s="4" t="s">
        <v>590</v>
      </c>
      <c r="C335" s="4" t="str">
        <f t="shared" si="4"/>
        <v>[GPT ERROR] Error: The model "gpt-3.5-turbo" is disabled in this space.</v>
      </c>
      <c r="D335" s="4" t="s">
        <v>12</v>
      </c>
    </row>
    <row r="336">
      <c r="A336" s="4" t="s">
        <v>591</v>
      </c>
      <c r="C336" s="4" t="str">
        <f t="shared" si="4"/>
        <v>[GPT ERROR] Error: The model "gpt-3.5-turbo" is disabled in this space.</v>
      </c>
      <c r="D336" s="4" t="s">
        <v>257</v>
      </c>
    </row>
    <row r="337">
      <c r="A337" s="4" t="s">
        <v>20</v>
      </c>
      <c r="B337" s="4" t="s">
        <v>210</v>
      </c>
      <c r="C337" s="4" t="str">
        <f t="shared" si="4"/>
        <v>[GPT ERROR] Error: The model "gpt-3.5-turbo" is disabled in this space.</v>
      </c>
      <c r="D337" s="4" t="s">
        <v>60</v>
      </c>
    </row>
    <row r="338">
      <c r="A338" s="4" t="s">
        <v>211</v>
      </c>
      <c r="B338" s="4" t="s">
        <v>212</v>
      </c>
      <c r="C338" s="4" t="str">
        <f t="shared" si="4"/>
        <v>[GPT ERROR] Error: The model "gpt-3.5-turbo" is disabled in this space.</v>
      </c>
      <c r="D338" s="4" t="s">
        <v>79</v>
      </c>
    </row>
    <row r="339">
      <c r="A339" s="4" t="s">
        <v>592</v>
      </c>
      <c r="C339" s="4" t="str">
        <f t="shared" si="4"/>
        <v>[GPT ERROR] Error: The model "gpt-3.5-turbo" is disabled in this space.</v>
      </c>
    </row>
    <row r="340">
      <c r="A340" s="4" t="s">
        <v>593</v>
      </c>
      <c r="C340" s="4" t="str">
        <f t="shared" si="4"/>
        <v>[GPT ERROR] Error: The model "gpt-3.5-turbo" is disabled in this space.</v>
      </c>
      <c r="D340" s="4" t="s">
        <v>270</v>
      </c>
    </row>
    <row r="341">
      <c r="A341" s="4" t="s">
        <v>594</v>
      </c>
      <c r="C341" s="4" t="str">
        <f t="shared" si="4"/>
        <v>[GPT ERROR] Error: The model "gpt-3.5-turbo" is disabled in this space.</v>
      </c>
      <c r="D341" s="4" t="s">
        <v>12</v>
      </c>
    </row>
    <row r="342">
      <c r="A342" s="4" t="s">
        <v>595</v>
      </c>
      <c r="C342" s="4" t="str">
        <f t="shared" si="4"/>
        <v>[GPT ERROR] Error: The model "gpt-3.5-turbo" is disabled in this space.</v>
      </c>
    </row>
    <row r="343">
      <c r="A343" s="4" t="s">
        <v>596</v>
      </c>
      <c r="C343" s="4" t="str">
        <f t="shared" si="4"/>
        <v>[GPT ERROR] Error: The model "gpt-3.5-turbo" is disabled in this space.</v>
      </c>
      <c r="D343" s="4" t="s">
        <v>260</v>
      </c>
    </row>
    <row r="344">
      <c r="A344" s="4" t="s">
        <v>597</v>
      </c>
      <c r="C344" s="4" t="str">
        <f t="shared" si="4"/>
        <v>[GPT ERROR] Error: The model "gpt-3.5-turbo" is disabled in this space.</v>
      </c>
      <c r="D344" s="4" t="s">
        <v>260</v>
      </c>
    </row>
    <row r="345">
      <c r="A345" s="4" t="s">
        <v>598</v>
      </c>
      <c r="C345" s="4" t="str">
        <f t="shared" si="4"/>
        <v>[GPT ERROR] Error: The model "gpt-3.5-turbo" is disabled in this space.</v>
      </c>
      <c r="D345" s="4" t="s">
        <v>270</v>
      </c>
    </row>
    <row r="346">
      <c r="A346" s="4" t="s">
        <v>599</v>
      </c>
      <c r="C346" s="4" t="str">
        <f t="shared" si="4"/>
        <v>[GPT ERROR] Error: The model "gpt-3.5-turbo" is disabled in this space.</v>
      </c>
      <c r="D346" s="4" t="s">
        <v>600</v>
      </c>
    </row>
    <row r="347">
      <c r="A347" s="4" t="s">
        <v>601</v>
      </c>
      <c r="C347" s="4" t="str">
        <f t="shared" si="4"/>
        <v>[GPT ERROR] Error: The model "gpt-3.5-turbo" is disabled in this space.</v>
      </c>
      <c r="D347" s="4" t="s">
        <v>300</v>
      </c>
    </row>
    <row r="348">
      <c r="A348" s="4" t="s">
        <v>602</v>
      </c>
      <c r="C348" s="4" t="str">
        <f t="shared" si="4"/>
        <v>[GPT ERROR] Error: The model "gpt-3.5-turbo" is disabled in this space.</v>
      </c>
      <c r="D348" s="4" t="s">
        <v>270</v>
      </c>
    </row>
    <row r="349">
      <c r="A349" s="4" t="s">
        <v>603</v>
      </c>
      <c r="C349" s="4" t="str">
        <f t="shared" si="4"/>
        <v>[GPT ERROR] Error: The model "gpt-3.5-turbo" is disabled in this space.</v>
      </c>
    </row>
    <row r="350">
      <c r="A350" s="4" t="s">
        <v>604</v>
      </c>
      <c r="C350" s="4" t="str">
        <f t="shared" si="4"/>
        <v>[GPT ERROR] Error: The model "gpt-3.5-turbo" is disabled in this space.</v>
      </c>
      <c r="D350" s="4" t="s">
        <v>12</v>
      </c>
    </row>
    <row r="351">
      <c r="A351" s="4" t="s">
        <v>8</v>
      </c>
      <c r="C351" s="4" t="str">
        <f t="shared" si="4"/>
        <v>[GPT ERROR] Error: The model "gpt-3.5-turbo" is disabled in this space.</v>
      </c>
      <c r="D351" s="4" t="s">
        <v>12</v>
      </c>
    </row>
    <row r="352">
      <c r="A352" s="4" t="s">
        <v>605</v>
      </c>
      <c r="C352" s="4" t="str">
        <f t="shared" si="4"/>
        <v>[GPT ERROR] Error: The model "gpt-3.5-turbo" is disabled in this space.</v>
      </c>
      <c r="D352" s="4" t="s">
        <v>300</v>
      </c>
    </row>
    <row r="353">
      <c r="A353" s="4" t="s">
        <v>606</v>
      </c>
      <c r="C353" s="4" t="str">
        <f t="shared" si="4"/>
        <v>[GPT ERROR] Error: The model "gpt-3.5-turbo" is disabled in this space.</v>
      </c>
      <c r="D353" s="4" t="s">
        <v>257</v>
      </c>
    </row>
    <row r="354">
      <c r="A354" s="4" t="s">
        <v>607</v>
      </c>
      <c r="C354" s="4" t="str">
        <f t="shared" si="4"/>
        <v>[GPT ERROR] Error: The model "gpt-3.5-turbo" is disabled in this space.</v>
      </c>
      <c r="D354" s="4" t="s">
        <v>60</v>
      </c>
    </row>
    <row r="355">
      <c r="A355" s="4" t="s">
        <v>608</v>
      </c>
      <c r="C355" s="4" t="str">
        <f t="shared" si="4"/>
        <v>[GPT ERROR] Error: The model "gpt-3.5-turbo" is disabled in this space.</v>
      </c>
      <c r="D355" s="4" t="s">
        <v>310</v>
      </c>
    </row>
    <row r="356">
      <c r="A356" s="4" t="s">
        <v>609</v>
      </c>
      <c r="C356" s="4" t="str">
        <f t="shared" si="4"/>
        <v>[GPT ERROR] Error: The model "gpt-3.5-turbo" is disabled in this space.</v>
      </c>
      <c r="D356" s="4" t="s">
        <v>300</v>
      </c>
    </row>
    <row r="357">
      <c r="A357" s="4" t="s">
        <v>610</v>
      </c>
      <c r="C357" s="4" t="str">
        <f t="shared" si="4"/>
        <v>[GPT ERROR] Error: The model "gpt-3.5-turbo" is disabled in this space.</v>
      </c>
      <c r="D357" s="4" t="s">
        <v>310</v>
      </c>
    </row>
    <row r="358">
      <c r="A358" s="4" t="s">
        <v>611</v>
      </c>
      <c r="C358" s="4" t="str">
        <f t="shared" si="4"/>
        <v>[GPT ERROR] Error: The model "gpt-3.5-turbo" is disabled in this space.</v>
      </c>
      <c r="D358" s="4" t="s">
        <v>284</v>
      </c>
    </row>
    <row r="359">
      <c r="A359" s="4" t="s">
        <v>612</v>
      </c>
      <c r="C359" s="4" t="str">
        <f t="shared" si="4"/>
        <v>[GPT ERROR] Error: The model "gpt-3.5-turbo" is disabled in this space.</v>
      </c>
    </row>
    <row r="360">
      <c r="A360" s="4" t="s">
        <v>613</v>
      </c>
      <c r="C360" s="4" t="str">
        <f t="shared" si="4"/>
        <v>[GPT ERROR] Error: The model "gpt-3.5-turbo" is disabled in this space.</v>
      </c>
      <c r="D360" s="4" t="s">
        <v>257</v>
      </c>
    </row>
    <row r="361">
      <c r="A361" s="4" t="s">
        <v>614</v>
      </c>
      <c r="C361" s="4" t="str">
        <f t="shared" si="4"/>
        <v>[GPT ERROR] Error: The model "gpt-3.5-turbo" is disabled in this space.</v>
      </c>
      <c r="D361" s="4" t="s">
        <v>281</v>
      </c>
    </row>
    <row r="362">
      <c r="A362" s="4" t="s">
        <v>615</v>
      </c>
      <c r="C362" s="4" t="str">
        <f t="shared" si="4"/>
        <v>[GPT ERROR] Error: The model "gpt-3.5-turbo" is disabled in this space.</v>
      </c>
      <c r="D362" s="4" t="s">
        <v>260</v>
      </c>
    </row>
    <row r="363">
      <c r="A363" s="4" t="s">
        <v>616</v>
      </c>
      <c r="C363" s="4" t="str">
        <f t="shared" si="4"/>
        <v>[GPT ERROR] Error: The model "gpt-3.5-turbo" is disabled in this space.</v>
      </c>
      <c r="D363" s="4" t="s">
        <v>300</v>
      </c>
    </row>
    <row r="364">
      <c r="A364" s="4" t="s">
        <v>617</v>
      </c>
      <c r="C364" s="4" t="str">
        <f t="shared" si="4"/>
        <v>[GPT ERROR] Error: The model "gpt-3.5-turbo" is disabled in this space.</v>
      </c>
      <c r="D364" s="4" t="s">
        <v>389</v>
      </c>
    </row>
    <row r="365">
      <c r="A365" s="4" t="s">
        <v>233</v>
      </c>
      <c r="B365" s="4" t="s">
        <v>234</v>
      </c>
      <c r="C365" s="4" t="str">
        <f t="shared" si="4"/>
        <v>[GPT ERROR] Error: The model "gpt-3.5-turbo" is disabled in this space.</v>
      </c>
      <c r="D365" s="4" t="s">
        <v>618</v>
      </c>
    </row>
    <row r="366">
      <c r="A366" s="4" t="s">
        <v>619</v>
      </c>
      <c r="C366" s="4" t="str">
        <f t="shared" si="4"/>
        <v>[GPT ERROR] Error: The model "gpt-3.5-turbo" is disabled in this space.</v>
      </c>
      <c r="D366" s="4" t="s">
        <v>270</v>
      </c>
    </row>
    <row r="367">
      <c r="A367" s="4" t="s">
        <v>620</v>
      </c>
      <c r="C367" s="4" t="str">
        <f t="shared" si="4"/>
        <v>[GPT ERROR] Error: The model "gpt-3.5-turbo" is disabled in this space.</v>
      </c>
      <c r="D367" s="4" t="s">
        <v>359</v>
      </c>
    </row>
    <row r="368">
      <c r="A368" s="4" t="s">
        <v>621</v>
      </c>
      <c r="C368" s="4" t="str">
        <f t="shared" si="4"/>
        <v>[GPT ERROR] Error: The model "gpt-3.5-turbo" is disabled in this space.</v>
      </c>
      <c r="D368" s="4" t="s">
        <v>300</v>
      </c>
    </row>
    <row r="369">
      <c r="A369" s="4" t="s">
        <v>622</v>
      </c>
      <c r="C369" s="4" t="str">
        <f t="shared" si="4"/>
        <v>[GPT ERROR] Error: The model "gpt-3.5-turbo" is disabled in this space.</v>
      </c>
      <c r="D369" s="4" t="s">
        <v>257</v>
      </c>
    </row>
    <row r="370">
      <c r="A370" s="4" t="s">
        <v>238</v>
      </c>
      <c r="B370" s="4" t="s">
        <v>623</v>
      </c>
      <c r="C370" s="4" t="str">
        <f t="shared" si="4"/>
        <v>[GPT ERROR] Error: The model "gpt-3.5-turbo" is disabled in this space.</v>
      </c>
      <c r="D370" s="4" t="s">
        <v>253</v>
      </c>
    </row>
    <row r="371">
      <c r="A371" s="4" t="s">
        <v>624</v>
      </c>
      <c r="C371" s="4" t="str">
        <f t="shared" si="4"/>
        <v>[GPT ERROR] Error: The model "gpt-3.5-turbo" is disabled in this space.</v>
      </c>
      <c r="D371" s="4" t="s">
        <v>310</v>
      </c>
    </row>
    <row r="372">
      <c r="A372" s="4" t="s">
        <v>625</v>
      </c>
      <c r="C372" s="4" t="str">
        <f t="shared" si="4"/>
        <v>[GPT ERROR] Error: The model "gpt-3.5-turbo" is disabled in this space.</v>
      </c>
      <c r="D372" s="4" t="s">
        <v>310</v>
      </c>
    </row>
    <row r="373">
      <c r="A373" s="4" t="s">
        <v>626</v>
      </c>
      <c r="C373" s="4" t="str">
        <f t="shared" si="4"/>
        <v>[GPT ERROR] Error: The model "gpt-3.5-turbo" is disabled in this space.</v>
      </c>
      <c r="D373" s="4" t="s">
        <v>257</v>
      </c>
    </row>
    <row r="374">
      <c r="A374" s="4" t="s">
        <v>627</v>
      </c>
      <c r="C374" s="4" t="str">
        <f t="shared" si="4"/>
        <v>[GPT ERROR] Error: The model "gpt-3.5-turbo" is disabled in this space.</v>
      </c>
      <c r="D374" s="4" t="s">
        <v>260</v>
      </c>
    </row>
    <row r="375">
      <c r="A375" s="4" t="s">
        <v>628</v>
      </c>
      <c r="C375" s="4" t="str">
        <f t="shared" si="4"/>
        <v>[GPT ERROR] Error: The model "gpt-3.5-turbo" is disabled in this space.</v>
      </c>
      <c r="D375" s="4" t="s">
        <v>60</v>
      </c>
    </row>
    <row r="376">
      <c r="A376" s="4" t="s">
        <v>629</v>
      </c>
      <c r="C376" s="4" t="str">
        <f t="shared" si="4"/>
        <v>[GPT ERROR] Error: The model "gpt-3.5-turbo" is disabled in this space.</v>
      </c>
      <c r="D376" s="4" t="s">
        <v>378</v>
      </c>
    </row>
    <row r="377">
      <c r="A377" s="4" t="s">
        <v>630</v>
      </c>
      <c r="C377" s="4" t="str">
        <f t="shared" si="4"/>
        <v>[GPT ERROR] Error: The model "gpt-3.5-turbo" is disabled in this space.</v>
      </c>
      <c r="D377" s="4" t="s">
        <v>389</v>
      </c>
    </row>
    <row r="378">
      <c r="A378" s="4" t="s">
        <v>631</v>
      </c>
      <c r="C378" s="4" t="str">
        <f t="shared" si="4"/>
        <v>[GPT ERROR] Error: The model "gpt-3.5-turbo" is disabled in this space.</v>
      </c>
      <c r="D378" s="4" t="s">
        <v>300</v>
      </c>
    </row>
    <row r="379">
      <c r="A379" s="4" t="s">
        <v>632</v>
      </c>
      <c r="C379" s="4" t="str">
        <f t="shared" si="4"/>
        <v>[GPT ERROR] Error: The model "gpt-3.5-turbo" is disabled in this space.</v>
      </c>
      <c r="D379" s="4" t="s">
        <v>12</v>
      </c>
    </row>
    <row r="380">
      <c r="A380" s="4" t="s">
        <v>633</v>
      </c>
      <c r="C380" s="4" t="str">
        <f t="shared" si="4"/>
        <v>[GPT ERROR] Error: The model "gpt-3.5-turbo" is disabled in this space.</v>
      </c>
      <c r="D380" s="4" t="s">
        <v>359</v>
      </c>
    </row>
    <row r="381">
      <c r="A381" s="4" t="s">
        <v>634</v>
      </c>
      <c r="C381" s="4" t="str">
        <f t="shared" si="4"/>
        <v>[GPT ERROR] Error: The model "gpt-3.5-turbo" is disabled in this space.</v>
      </c>
      <c r="D381" s="4" t="s">
        <v>257</v>
      </c>
    </row>
    <row r="382">
      <c r="A382" s="4" t="s">
        <v>635</v>
      </c>
      <c r="C382" s="4" t="str">
        <f t="shared" si="4"/>
        <v>[GPT ERROR] Error: The model "gpt-3.5-turbo" is disabled in this space.</v>
      </c>
      <c r="D382" s="4" t="s">
        <v>284</v>
      </c>
    </row>
    <row r="383">
      <c r="A383" s="4" t="s">
        <v>636</v>
      </c>
      <c r="C383" s="4" t="str">
        <f t="shared" si="4"/>
        <v>[GPT ERROR] Error: The model "gpt-3.5-turbo" is disabled in this space.</v>
      </c>
      <c r="D383" s="4" t="s">
        <v>257</v>
      </c>
    </row>
    <row r="384">
      <c r="A384" s="4" t="s">
        <v>637</v>
      </c>
      <c r="C384" s="4" t="str">
        <f t="shared" si="4"/>
        <v>[GPT ERROR] Error: The model "gpt-3.5-turbo" is disabled in this space.</v>
      </c>
      <c r="D384" s="4" t="s">
        <v>12</v>
      </c>
    </row>
    <row r="385">
      <c r="A385" s="4" t="s">
        <v>638</v>
      </c>
      <c r="C385" s="4" t="str">
        <f t="shared" si="4"/>
        <v>[GPT ERROR] Error: The model "gpt-3.5-turbo" is disabled in this space.</v>
      </c>
      <c r="D385" s="4" t="s">
        <v>300</v>
      </c>
    </row>
    <row r="386">
      <c r="A386" s="4" t="s">
        <v>639</v>
      </c>
      <c r="C386" s="4" t="str">
        <f t="shared" si="4"/>
        <v>[GPT ERROR] Error: The model "gpt-3.5-turbo" is disabled in this space.</v>
      </c>
      <c r="D386" s="4" t="s">
        <v>284</v>
      </c>
    </row>
    <row r="387">
      <c r="A387" s="4" t="s">
        <v>640</v>
      </c>
      <c r="C387" s="4" t="str">
        <f t="shared" si="4"/>
        <v>[GPT ERROR] Error: The model "gpt-3.5-turbo" is disabled in this space.</v>
      </c>
    </row>
    <row r="388">
      <c r="A388" s="4" t="s">
        <v>641</v>
      </c>
      <c r="B388" s="4" t="s">
        <v>642</v>
      </c>
      <c r="C388" s="4" t="str">
        <f t="shared" si="4"/>
        <v>[GPT ERROR] Error: The model "gpt-3.5-turbo" is disabled in this space.</v>
      </c>
      <c r="D388" s="4" t="s">
        <v>270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</cols>
  <sheetData>
    <row r="1">
      <c r="A1" s="1" t="s">
        <v>52</v>
      </c>
      <c r="B1" s="1" t="s">
        <v>643</v>
      </c>
      <c r="C1" s="1" t="s">
        <v>55</v>
      </c>
      <c r="D1" s="1" t="s">
        <v>54</v>
      </c>
    </row>
    <row r="2">
      <c r="A2" s="1" t="s">
        <v>58</v>
      </c>
      <c r="B2" s="1" t="s">
        <v>332</v>
      </c>
      <c r="C2" s="1" t="s">
        <v>644</v>
      </c>
      <c r="D2" s="1" t="s">
        <v>63</v>
      </c>
    </row>
    <row r="3">
      <c r="A3" s="1" t="s">
        <v>63</v>
      </c>
      <c r="B3" s="1" t="s">
        <v>332</v>
      </c>
      <c r="C3" s="1" t="s">
        <v>644</v>
      </c>
      <c r="D3" s="1" t="s">
        <v>33</v>
      </c>
    </row>
    <row r="4">
      <c r="A4" s="1" t="s">
        <v>66</v>
      </c>
      <c r="B4" s="1" t="s">
        <v>645</v>
      </c>
      <c r="C4" s="1" t="s">
        <v>644</v>
      </c>
      <c r="D4" s="1" t="s">
        <v>646</v>
      </c>
    </row>
    <row r="5">
      <c r="A5" s="1" t="s">
        <v>70</v>
      </c>
      <c r="B5" s="1" t="s">
        <v>647</v>
      </c>
      <c r="C5" s="1" t="s">
        <v>648</v>
      </c>
      <c r="D5" s="1" t="s">
        <v>646</v>
      </c>
    </row>
    <row r="6">
      <c r="A6" s="1" t="s">
        <v>74</v>
      </c>
      <c r="B6" s="1" t="s">
        <v>646</v>
      </c>
      <c r="C6" s="1" t="s">
        <v>646</v>
      </c>
      <c r="D6" s="1" t="s">
        <v>646</v>
      </c>
    </row>
    <row r="7">
      <c r="A7" s="1" t="s">
        <v>77</v>
      </c>
      <c r="B7" s="1" t="s">
        <v>649</v>
      </c>
      <c r="C7" s="1" t="s">
        <v>650</v>
      </c>
      <c r="D7" s="1" t="s">
        <v>651</v>
      </c>
    </row>
    <row r="8">
      <c r="A8" s="1" t="s">
        <v>80</v>
      </c>
      <c r="B8" s="1" t="s">
        <v>649</v>
      </c>
      <c r="C8" s="1" t="s">
        <v>650</v>
      </c>
      <c r="D8" s="1" t="s">
        <v>646</v>
      </c>
    </row>
    <row r="9">
      <c r="A9" s="1" t="s">
        <v>82</v>
      </c>
      <c r="B9" s="1" t="s">
        <v>652</v>
      </c>
      <c r="C9" s="1" t="s">
        <v>644</v>
      </c>
      <c r="D9" s="1" t="s">
        <v>646</v>
      </c>
    </row>
    <row r="10">
      <c r="A10" s="1" t="s">
        <v>84</v>
      </c>
      <c r="B10" s="1" t="s">
        <v>647</v>
      </c>
      <c r="C10" s="1" t="s">
        <v>644</v>
      </c>
      <c r="D10" s="1" t="s">
        <v>20</v>
      </c>
    </row>
    <row r="11">
      <c r="A11" s="1" t="s">
        <v>87</v>
      </c>
      <c r="B11" s="1" t="s">
        <v>653</v>
      </c>
      <c r="C11" s="1" t="s">
        <v>644</v>
      </c>
      <c r="D11" s="1" t="s">
        <v>37</v>
      </c>
    </row>
    <row r="12">
      <c r="A12" s="1" t="s">
        <v>89</v>
      </c>
      <c r="B12" s="1" t="s">
        <v>654</v>
      </c>
      <c r="C12" s="1" t="s">
        <v>648</v>
      </c>
      <c r="D12" s="1" t="s">
        <v>646</v>
      </c>
    </row>
    <row r="13">
      <c r="A13" s="1" t="s">
        <v>248</v>
      </c>
      <c r="B13" s="1" t="s">
        <v>655</v>
      </c>
      <c r="C13" s="1" t="s">
        <v>644</v>
      </c>
      <c r="D13" s="1" t="s">
        <v>646</v>
      </c>
    </row>
    <row r="14">
      <c r="A14" s="1" t="s">
        <v>92</v>
      </c>
      <c r="B14" s="1" t="s">
        <v>656</v>
      </c>
      <c r="C14" s="1" t="s">
        <v>650</v>
      </c>
      <c r="D14" s="1" t="s">
        <v>207</v>
      </c>
    </row>
    <row r="15">
      <c r="A15" s="1" t="s">
        <v>94</v>
      </c>
      <c r="B15" s="1" t="s">
        <v>646</v>
      </c>
      <c r="C15" s="1" t="s">
        <v>646</v>
      </c>
      <c r="D15" s="1" t="s">
        <v>646</v>
      </c>
    </row>
    <row r="16">
      <c r="A16" s="1" t="s">
        <v>96</v>
      </c>
      <c r="B16" s="1" t="s">
        <v>657</v>
      </c>
      <c r="C16" s="1" t="s">
        <v>650</v>
      </c>
      <c r="D16" s="1" t="s">
        <v>646</v>
      </c>
    </row>
    <row r="17">
      <c r="A17" s="1" t="s">
        <v>98</v>
      </c>
      <c r="B17" s="1" t="s">
        <v>658</v>
      </c>
      <c r="C17" s="1" t="s">
        <v>659</v>
      </c>
      <c r="D17" s="1" t="s">
        <v>660</v>
      </c>
    </row>
    <row r="18">
      <c r="A18" s="1" t="s">
        <v>101</v>
      </c>
      <c r="B18" s="1" t="s">
        <v>646</v>
      </c>
      <c r="C18" s="1" t="s">
        <v>646</v>
      </c>
      <c r="D18" s="1" t="s">
        <v>646</v>
      </c>
    </row>
    <row r="19">
      <c r="A19" s="1" t="s">
        <v>104</v>
      </c>
      <c r="B19" s="1" t="s">
        <v>661</v>
      </c>
      <c r="C19" s="1" t="s">
        <v>644</v>
      </c>
      <c r="D19" s="1" t="s">
        <v>213</v>
      </c>
    </row>
    <row r="20">
      <c r="A20" s="1" t="s">
        <v>106</v>
      </c>
      <c r="B20" s="1" t="s">
        <v>662</v>
      </c>
      <c r="C20" s="1" t="s">
        <v>648</v>
      </c>
      <c r="D20" s="1" t="s">
        <v>646</v>
      </c>
    </row>
    <row r="21">
      <c r="A21" s="1" t="s">
        <v>108</v>
      </c>
      <c r="B21" s="1" t="s">
        <v>663</v>
      </c>
      <c r="C21" s="1" t="s">
        <v>650</v>
      </c>
      <c r="D21" s="1" t="s">
        <v>646</v>
      </c>
    </row>
    <row r="22">
      <c r="A22" s="1" t="s">
        <v>110</v>
      </c>
      <c r="B22" s="1" t="s">
        <v>664</v>
      </c>
      <c r="C22" s="1" t="s">
        <v>665</v>
      </c>
      <c r="D22" s="1" t="s">
        <v>666</v>
      </c>
    </row>
    <row r="23">
      <c r="A23" s="1" t="s">
        <v>112</v>
      </c>
      <c r="B23" s="1" t="s">
        <v>299</v>
      </c>
      <c r="C23" s="1" t="s">
        <v>648</v>
      </c>
      <c r="D23" s="1" t="s">
        <v>1</v>
      </c>
    </row>
    <row r="24">
      <c r="A24" s="1" t="s">
        <v>113</v>
      </c>
      <c r="B24" s="1" t="s">
        <v>667</v>
      </c>
      <c r="C24" s="1" t="s">
        <v>668</v>
      </c>
      <c r="D24" s="1" t="s">
        <v>669</v>
      </c>
    </row>
    <row r="25">
      <c r="A25" s="1" t="s">
        <v>115</v>
      </c>
      <c r="B25" s="1" t="s">
        <v>299</v>
      </c>
      <c r="C25" s="1" t="s">
        <v>648</v>
      </c>
      <c r="D25" s="1" t="s">
        <v>670</v>
      </c>
    </row>
    <row r="26">
      <c r="A26" s="1" t="s">
        <v>117</v>
      </c>
      <c r="B26" s="1" t="s">
        <v>671</v>
      </c>
      <c r="C26" s="1" t="s">
        <v>648</v>
      </c>
      <c r="D26" s="1" t="s">
        <v>492</v>
      </c>
    </row>
    <row r="27">
      <c r="A27" s="1" t="s">
        <v>119</v>
      </c>
      <c r="B27" s="1" t="s">
        <v>672</v>
      </c>
      <c r="C27" s="1" t="s">
        <v>644</v>
      </c>
      <c r="D27" s="1" t="s">
        <v>673</v>
      </c>
    </row>
    <row r="28">
      <c r="A28" s="1" t="s">
        <v>121</v>
      </c>
      <c r="B28" s="1" t="s">
        <v>419</v>
      </c>
      <c r="C28" s="1" t="s">
        <v>648</v>
      </c>
      <c r="D28" s="1" t="s">
        <v>646</v>
      </c>
    </row>
    <row r="29">
      <c r="A29" s="1" t="s">
        <v>122</v>
      </c>
      <c r="B29" s="1" t="s">
        <v>674</v>
      </c>
      <c r="C29" s="1" t="s">
        <v>648</v>
      </c>
      <c r="D29" s="1" t="s">
        <v>646</v>
      </c>
    </row>
    <row r="30">
      <c r="A30" s="1" t="s">
        <v>124</v>
      </c>
      <c r="B30" s="1" t="s">
        <v>675</v>
      </c>
      <c r="C30" s="1" t="s">
        <v>644</v>
      </c>
      <c r="D30" s="1" t="s">
        <v>150</v>
      </c>
    </row>
    <row r="31">
      <c r="A31" s="1" t="s">
        <v>125</v>
      </c>
      <c r="B31" s="1" t="s">
        <v>676</v>
      </c>
      <c r="C31" s="1" t="s">
        <v>665</v>
      </c>
      <c r="D31" s="1" t="s">
        <v>677</v>
      </c>
    </row>
    <row r="32">
      <c r="A32" s="1" t="s">
        <v>127</v>
      </c>
      <c r="B32" s="1" t="s">
        <v>678</v>
      </c>
      <c r="C32" s="1" t="s">
        <v>648</v>
      </c>
      <c r="D32" s="1" t="s">
        <v>679</v>
      </c>
    </row>
    <row r="33">
      <c r="A33" s="1" t="s">
        <v>129</v>
      </c>
      <c r="B33" s="1" t="s">
        <v>299</v>
      </c>
      <c r="C33" s="1" t="s">
        <v>648</v>
      </c>
      <c r="D33" s="1" t="s">
        <v>646</v>
      </c>
    </row>
    <row r="34">
      <c r="A34" s="1" t="s">
        <v>130</v>
      </c>
      <c r="B34" s="1" t="s">
        <v>680</v>
      </c>
      <c r="C34" s="1" t="s">
        <v>648</v>
      </c>
      <c r="D34" s="1" t="s">
        <v>681</v>
      </c>
    </row>
    <row r="35">
      <c r="A35" s="1" t="s">
        <v>132</v>
      </c>
      <c r="B35" s="1" t="s">
        <v>680</v>
      </c>
      <c r="C35" s="1" t="s">
        <v>648</v>
      </c>
      <c r="D35" s="1" t="s">
        <v>660</v>
      </c>
    </row>
    <row r="36">
      <c r="A36" s="1" t="s">
        <v>134</v>
      </c>
      <c r="B36" s="1" t="s">
        <v>682</v>
      </c>
      <c r="C36" s="1" t="s">
        <v>644</v>
      </c>
      <c r="D36" s="1" t="s">
        <v>180</v>
      </c>
    </row>
    <row r="37">
      <c r="A37" s="1" t="s">
        <v>136</v>
      </c>
      <c r="B37" s="1" t="s">
        <v>683</v>
      </c>
      <c r="C37" s="1" t="s">
        <v>648</v>
      </c>
      <c r="D37" s="1" t="s">
        <v>646</v>
      </c>
    </row>
    <row r="38">
      <c r="A38" s="1" t="s">
        <v>137</v>
      </c>
      <c r="B38" s="1" t="s">
        <v>684</v>
      </c>
      <c r="C38" s="1" t="s">
        <v>644</v>
      </c>
      <c r="D38" s="1" t="s">
        <v>646</v>
      </c>
    </row>
    <row r="39">
      <c r="A39" s="1" t="s">
        <v>139</v>
      </c>
      <c r="B39" s="1" t="s">
        <v>322</v>
      </c>
      <c r="C39" s="1" t="s">
        <v>648</v>
      </c>
      <c r="D39" s="1" t="s">
        <v>646</v>
      </c>
    </row>
    <row r="40">
      <c r="A40" s="1" t="s">
        <v>141</v>
      </c>
      <c r="B40" s="1" t="s">
        <v>299</v>
      </c>
      <c r="C40" s="1" t="s">
        <v>648</v>
      </c>
      <c r="D40" s="1" t="s">
        <v>646</v>
      </c>
    </row>
    <row r="41">
      <c r="A41" s="1" t="s">
        <v>143</v>
      </c>
      <c r="B41" s="1" t="s">
        <v>376</v>
      </c>
      <c r="C41" s="1" t="s">
        <v>648</v>
      </c>
      <c r="D41" s="1" t="s">
        <v>646</v>
      </c>
    </row>
    <row r="42">
      <c r="A42" s="1" t="s">
        <v>144</v>
      </c>
      <c r="B42" s="1" t="s">
        <v>685</v>
      </c>
      <c r="C42" s="1" t="s">
        <v>644</v>
      </c>
      <c r="D42" s="1" t="s">
        <v>646</v>
      </c>
    </row>
    <row r="43">
      <c r="A43" s="1" t="s">
        <v>146</v>
      </c>
      <c r="B43" s="1" t="s">
        <v>646</v>
      </c>
      <c r="C43" s="1" t="s">
        <v>648</v>
      </c>
      <c r="D43" s="1" t="s">
        <v>646</v>
      </c>
    </row>
    <row r="44">
      <c r="A44" s="1" t="s">
        <v>147</v>
      </c>
      <c r="B44" s="1" t="s">
        <v>299</v>
      </c>
      <c r="C44" s="1" t="s">
        <v>648</v>
      </c>
      <c r="D44" s="1" t="s">
        <v>1</v>
      </c>
    </row>
    <row r="45">
      <c r="A45" s="1" t="s">
        <v>148</v>
      </c>
      <c r="B45" s="1" t="s">
        <v>686</v>
      </c>
      <c r="C45" s="1" t="s">
        <v>648</v>
      </c>
      <c r="D45" s="1" t="s">
        <v>1</v>
      </c>
    </row>
    <row r="46">
      <c r="A46" s="1" t="s">
        <v>150</v>
      </c>
      <c r="B46" s="1" t="s">
        <v>332</v>
      </c>
      <c r="C46" s="1" t="s">
        <v>644</v>
      </c>
      <c r="D46" s="1" t="s">
        <v>646</v>
      </c>
    </row>
    <row r="47">
      <c r="A47" s="1" t="s">
        <v>151</v>
      </c>
      <c r="B47" s="1" t="s">
        <v>675</v>
      </c>
      <c r="C47" s="1" t="s">
        <v>644</v>
      </c>
      <c r="D47" s="1" t="s">
        <v>646</v>
      </c>
    </row>
    <row r="48">
      <c r="A48" s="1" t="s">
        <v>153</v>
      </c>
      <c r="B48" s="1" t="s">
        <v>646</v>
      </c>
      <c r="C48" s="1" t="s">
        <v>648</v>
      </c>
      <c r="D48" s="1" t="s">
        <v>646</v>
      </c>
    </row>
    <row r="49">
      <c r="A49" s="1" t="s">
        <v>155</v>
      </c>
      <c r="B49" s="1" t="s">
        <v>322</v>
      </c>
      <c r="C49" s="1" t="s">
        <v>648</v>
      </c>
      <c r="D49" s="1" t="s">
        <v>646</v>
      </c>
    </row>
    <row r="50">
      <c r="A50" s="1" t="s">
        <v>157</v>
      </c>
      <c r="B50" s="1" t="s">
        <v>646</v>
      </c>
      <c r="C50" s="1" t="s">
        <v>648</v>
      </c>
      <c r="D50" s="1" t="s">
        <v>646</v>
      </c>
    </row>
    <row r="51">
      <c r="A51" s="1" t="s">
        <v>159</v>
      </c>
      <c r="B51" s="1" t="s">
        <v>419</v>
      </c>
      <c r="C51" s="1" t="s">
        <v>648</v>
      </c>
      <c r="D51" s="1" t="s">
        <v>646</v>
      </c>
    </row>
    <row r="52">
      <c r="A52" s="1" t="s">
        <v>161</v>
      </c>
      <c r="B52" s="1" t="s">
        <v>299</v>
      </c>
      <c r="C52" s="1" t="s">
        <v>648</v>
      </c>
      <c r="D52" s="1" t="s">
        <v>646</v>
      </c>
    </row>
    <row r="53">
      <c r="A53" s="1" t="s">
        <v>163</v>
      </c>
      <c r="B53" s="1" t="s">
        <v>661</v>
      </c>
      <c r="C53" s="1" t="s">
        <v>644</v>
      </c>
      <c r="D53" s="1" t="s">
        <v>180</v>
      </c>
    </row>
    <row r="54">
      <c r="A54" s="1" t="s">
        <v>165</v>
      </c>
      <c r="B54" s="1" t="s">
        <v>646</v>
      </c>
      <c r="C54" s="1" t="s">
        <v>648</v>
      </c>
      <c r="D54" s="1" t="s">
        <v>646</v>
      </c>
    </row>
    <row r="55">
      <c r="A55" s="1" t="s">
        <v>166</v>
      </c>
      <c r="B55" s="1" t="s">
        <v>687</v>
      </c>
      <c r="C55" s="1" t="s">
        <v>648</v>
      </c>
      <c r="D55" s="1" t="s">
        <v>1</v>
      </c>
    </row>
    <row r="56">
      <c r="A56" s="1" t="s">
        <v>168</v>
      </c>
      <c r="B56" s="1" t="s">
        <v>661</v>
      </c>
      <c r="C56" s="1" t="s">
        <v>644</v>
      </c>
      <c r="D56" s="1" t="s">
        <v>45</v>
      </c>
    </row>
    <row r="57">
      <c r="A57" s="1" t="s">
        <v>170</v>
      </c>
      <c r="B57" s="1" t="s">
        <v>688</v>
      </c>
      <c r="C57" s="1" t="s">
        <v>648</v>
      </c>
      <c r="D57" s="1" t="s">
        <v>1</v>
      </c>
    </row>
    <row r="58">
      <c r="A58" s="1" t="s">
        <v>171</v>
      </c>
      <c r="B58" s="1" t="s">
        <v>646</v>
      </c>
      <c r="C58" s="1" t="s">
        <v>648</v>
      </c>
      <c r="D58" s="1" t="s">
        <v>646</v>
      </c>
    </row>
    <row r="59">
      <c r="A59" s="1" t="s">
        <v>172</v>
      </c>
      <c r="B59" s="1" t="s">
        <v>646</v>
      </c>
      <c r="C59" s="1" t="s">
        <v>648</v>
      </c>
      <c r="D59" s="1" t="s">
        <v>646</v>
      </c>
    </row>
    <row r="60">
      <c r="A60" s="1" t="s">
        <v>174</v>
      </c>
      <c r="B60" s="1" t="s">
        <v>661</v>
      </c>
      <c r="C60" s="1" t="s">
        <v>644</v>
      </c>
      <c r="D60" s="1" t="s">
        <v>213</v>
      </c>
    </row>
    <row r="61">
      <c r="A61" s="1" t="s">
        <v>176</v>
      </c>
      <c r="B61" s="1" t="s">
        <v>689</v>
      </c>
      <c r="C61" s="1" t="s">
        <v>644</v>
      </c>
      <c r="D61" s="1" t="s">
        <v>690</v>
      </c>
    </row>
    <row r="62">
      <c r="A62" s="1" t="s">
        <v>178</v>
      </c>
      <c r="B62" s="1" t="s">
        <v>691</v>
      </c>
      <c r="C62" s="1" t="s">
        <v>644</v>
      </c>
      <c r="D62" s="1" t="s">
        <v>27</v>
      </c>
    </row>
    <row r="63">
      <c r="A63" s="1" t="s">
        <v>180</v>
      </c>
      <c r="B63" s="1" t="s">
        <v>685</v>
      </c>
      <c r="C63" s="1" t="s">
        <v>644</v>
      </c>
      <c r="D63" s="1" t="s">
        <v>37</v>
      </c>
    </row>
    <row r="64">
      <c r="A64" s="1" t="s">
        <v>182</v>
      </c>
      <c r="B64" s="1" t="s">
        <v>419</v>
      </c>
      <c r="C64" s="1" t="s">
        <v>648</v>
      </c>
      <c r="D64" s="1" t="s">
        <v>98</v>
      </c>
    </row>
    <row r="65">
      <c r="A65" s="1" t="s">
        <v>184</v>
      </c>
      <c r="B65" s="1" t="s">
        <v>299</v>
      </c>
      <c r="C65" s="1" t="s">
        <v>648</v>
      </c>
      <c r="D65" s="1" t="s">
        <v>1</v>
      </c>
    </row>
    <row r="66">
      <c r="A66" s="1" t="s">
        <v>185</v>
      </c>
      <c r="B66" s="1" t="s">
        <v>685</v>
      </c>
      <c r="C66" s="1" t="s">
        <v>644</v>
      </c>
      <c r="D66" s="1" t="s">
        <v>37</v>
      </c>
    </row>
    <row r="67">
      <c r="A67" s="1" t="s">
        <v>187</v>
      </c>
      <c r="B67" s="1" t="s">
        <v>675</v>
      </c>
      <c r="C67" s="1" t="s">
        <v>644</v>
      </c>
      <c r="D67" s="1" t="s">
        <v>646</v>
      </c>
    </row>
    <row r="68">
      <c r="A68" s="1" t="s">
        <v>189</v>
      </c>
      <c r="B68" s="1" t="s">
        <v>322</v>
      </c>
      <c r="C68" s="1" t="s">
        <v>648</v>
      </c>
      <c r="D68" s="1" t="s">
        <v>646</v>
      </c>
    </row>
    <row r="69">
      <c r="A69" s="1" t="s">
        <v>190</v>
      </c>
      <c r="B69" s="1" t="s">
        <v>680</v>
      </c>
      <c r="C69" s="1" t="s">
        <v>648</v>
      </c>
      <c r="D69" s="1" t="s">
        <v>646</v>
      </c>
    </row>
    <row r="70">
      <c r="A70" s="1" t="s">
        <v>192</v>
      </c>
      <c r="B70" s="1" t="s">
        <v>322</v>
      </c>
      <c r="C70" s="1" t="s">
        <v>648</v>
      </c>
      <c r="D70" s="1" t="s">
        <v>646</v>
      </c>
    </row>
    <row r="71">
      <c r="A71" s="1" t="s">
        <v>193</v>
      </c>
      <c r="B71" s="1" t="s">
        <v>322</v>
      </c>
      <c r="C71" s="1" t="s">
        <v>650</v>
      </c>
      <c r="D71" s="1" t="s">
        <v>646</v>
      </c>
    </row>
    <row r="72">
      <c r="A72" s="1" t="s">
        <v>195</v>
      </c>
      <c r="B72" s="1" t="s">
        <v>675</v>
      </c>
      <c r="C72" s="1" t="s">
        <v>644</v>
      </c>
      <c r="D72" s="1" t="s">
        <v>646</v>
      </c>
    </row>
    <row r="73">
      <c r="A73" s="1" t="s">
        <v>197</v>
      </c>
      <c r="B73" s="1" t="s">
        <v>692</v>
      </c>
      <c r="C73" s="1" t="s">
        <v>644</v>
      </c>
      <c r="D73" s="1" t="s">
        <v>87</v>
      </c>
    </row>
    <row r="74">
      <c r="A74" s="1" t="s">
        <v>199</v>
      </c>
      <c r="B74" s="1" t="s">
        <v>353</v>
      </c>
      <c r="C74" s="1" t="s">
        <v>648</v>
      </c>
      <c r="D74" s="1" t="s">
        <v>646</v>
      </c>
    </row>
    <row r="75">
      <c r="A75" s="1" t="s">
        <v>200</v>
      </c>
      <c r="B75" s="1" t="s">
        <v>693</v>
      </c>
      <c r="C75" s="1" t="s">
        <v>694</v>
      </c>
      <c r="D75" s="1" t="s">
        <v>248</v>
      </c>
    </row>
    <row r="76">
      <c r="A76" s="1" t="s">
        <v>202</v>
      </c>
      <c r="B76" s="1" t="s">
        <v>655</v>
      </c>
      <c r="C76" s="1" t="s">
        <v>648</v>
      </c>
      <c r="D76" s="1" t="s">
        <v>248</v>
      </c>
    </row>
    <row r="77">
      <c r="A77" s="1" t="s">
        <v>204</v>
      </c>
      <c r="B77" s="1" t="s">
        <v>299</v>
      </c>
      <c r="C77" s="1" t="s">
        <v>648</v>
      </c>
      <c r="D77" s="1" t="s">
        <v>1</v>
      </c>
    </row>
    <row r="78">
      <c r="A78" s="1" t="s">
        <v>205</v>
      </c>
      <c r="B78" s="1" t="s">
        <v>695</v>
      </c>
      <c r="C78" s="1" t="s">
        <v>696</v>
      </c>
      <c r="D78" s="1" t="s">
        <v>646</v>
      </c>
    </row>
    <row r="79">
      <c r="A79" s="1" t="s">
        <v>207</v>
      </c>
      <c r="B79" s="1" t="s">
        <v>697</v>
      </c>
      <c r="C79" s="1" t="s">
        <v>648</v>
      </c>
      <c r="D79" s="1" t="s">
        <v>646</v>
      </c>
    </row>
    <row r="80">
      <c r="A80" s="1" t="s">
        <v>1</v>
      </c>
      <c r="B80" s="1" t="s">
        <v>698</v>
      </c>
      <c r="C80" s="1" t="s">
        <v>699</v>
      </c>
      <c r="D80" s="1" t="s">
        <v>280</v>
      </c>
    </row>
    <row r="81">
      <c r="A81" s="1" t="s">
        <v>20</v>
      </c>
      <c r="B81" s="1" t="s">
        <v>700</v>
      </c>
      <c r="C81" s="1" t="s">
        <v>644</v>
      </c>
      <c r="D81" s="1" t="s">
        <v>248</v>
      </c>
    </row>
    <row r="82">
      <c r="A82" s="1" t="s">
        <v>211</v>
      </c>
      <c r="B82" s="1" t="s">
        <v>701</v>
      </c>
      <c r="C82" s="1" t="s">
        <v>648</v>
      </c>
      <c r="D82" s="1" t="s">
        <v>702</v>
      </c>
    </row>
    <row r="83">
      <c r="A83" s="1" t="s">
        <v>213</v>
      </c>
      <c r="B83" s="1" t="s">
        <v>703</v>
      </c>
      <c r="C83" s="1" t="s">
        <v>644</v>
      </c>
      <c r="D83" s="1" t="s">
        <v>45</v>
      </c>
    </row>
    <row r="84">
      <c r="A84" s="1" t="s">
        <v>215</v>
      </c>
      <c r="B84" s="1" t="s">
        <v>299</v>
      </c>
      <c r="C84" s="1" t="s">
        <v>648</v>
      </c>
      <c r="D84" s="1" t="s">
        <v>681</v>
      </c>
    </row>
    <row r="85">
      <c r="A85" s="1" t="s">
        <v>217</v>
      </c>
      <c r="B85" s="1" t="s">
        <v>704</v>
      </c>
      <c r="C85" s="1" t="s">
        <v>644</v>
      </c>
      <c r="D85" s="1" t="s">
        <v>20</v>
      </c>
    </row>
    <row r="86">
      <c r="A86" s="1" t="s">
        <v>219</v>
      </c>
      <c r="B86" s="1" t="s">
        <v>675</v>
      </c>
      <c r="C86" s="1" t="s">
        <v>644</v>
      </c>
      <c r="D86" s="1" t="s">
        <v>646</v>
      </c>
    </row>
    <row r="87">
      <c r="A87" s="1" t="s">
        <v>221</v>
      </c>
      <c r="B87" s="1" t="s">
        <v>332</v>
      </c>
      <c r="C87" s="1" t="s">
        <v>644</v>
      </c>
      <c r="D87" s="1" t="s">
        <v>646</v>
      </c>
    </row>
    <row r="88">
      <c r="A88" s="1" t="s">
        <v>223</v>
      </c>
      <c r="B88" s="1" t="s">
        <v>705</v>
      </c>
      <c r="C88" s="1" t="s">
        <v>644</v>
      </c>
      <c r="D88" s="1" t="s">
        <v>45</v>
      </c>
    </row>
    <row r="89">
      <c r="A89" s="1" t="s">
        <v>225</v>
      </c>
      <c r="B89" s="1" t="s">
        <v>685</v>
      </c>
      <c r="C89" s="1" t="s">
        <v>644</v>
      </c>
      <c r="D89" s="1" t="s">
        <v>646</v>
      </c>
    </row>
    <row r="90">
      <c r="A90" s="1" t="s">
        <v>227</v>
      </c>
      <c r="B90" s="1" t="s">
        <v>299</v>
      </c>
      <c r="C90" s="1" t="s">
        <v>648</v>
      </c>
      <c r="D90" s="1" t="s">
        <v>646</v>
      </c>
    </row>
    <row r="91">
      <c r="A91" s="1" t="s">
        <v>49</v>
      </c>
      <c r="B91" s="1" t="s">
        <v>706</v>
      </c>
      <c r="C91" s="1" t="s">
        <v>644</v>
      </c>
      <c r="D91" s="1" t="s">
        <v>87</v>
      </c>
    </row>
    <row r="92">
      <c r="A92" s="1" t="s">
        <v>229</v>
      </c>
      <c r="B92" s="1" t="s">
        <v>661</v>
      </c>
      <c r="C92" s="1" t="s">
        <v>644</v>
      </c>
      <c r="D92" s="1" t="s">
        <v>646</v>
      </c>
    </row>
    <row r="93">
      <c r="A93" s="1" t="s">
        <v>231</v>
      </c>
      <c r="B93" s="1" t="s">
        <v>332</v>
      </c>
      <c r="C93" s="1" t="s">
        <v>644</v>
      </c>
      <c r="D93" s="1" t="s">
        <v>63</v>
      </c>
    </row>
    <row r="94">
      <c r="A94" s="1" t="s">
        <v>233</v>
      </c>
      <c r="B94" s="1" t="s">
        <v>707</v>
      </c>
      <c r="C94" s="1" t="s">
        <v>648</v>
      </c>
      <c r="D94" s="1" t="s">
        <v>1</v>
      </c>
    </row>
    <row r="95">
      <c r="A95" s="1" t="s">
        <v>235</v>
      </c>
      <c r="B95" s="1" t="s">
        <v>708</v>
      </c>
      <c r="C95" s="1" t="s">
        <v>644</v>
      </c>
      <c r="D95" s="1" t="s">
        <v>709</v>
      </c>
    </row>
    <row r="96">
      <c r="A96" s="1" t="s">
        <v>45</v>
      </c>
      <c r="B96" s="1" t="s">
        <v>661</v>
      </c>
      <c r="C96" s="1" t="s">
        <v>644</v>
      </c>
      <c r="D96" s="1" t="s">
        <v>213</v>
      </c>
    </row>
    <row r="97">
      <c r="A97" s="1" t="s">
        <v>238</v>
      </c>
      <c r="B97" s="1" t="s">
        <v>299</v>
      </c>
      <c r="C97" s="1" t="s">
        <v>648</v>
      </c>
      <c r="D97" s="1" t="s">
        <v>646</v>
      </c>
    </row>
    <row r="98">
      <c r="A98" s="1" t="s">
        <v>240</v>
      </c>
      <c r="B98" s="1" t="s">
        <v>362</v>
      </c>
      <c r="C98" s="1" t="s">
        <v>648</v>
      </c>
      <c r="D98" s="1" t="s">
        <v>646</v>
      </c>
    </row>
    <row r="99">
      <c r="A99" s="1" t="s">
        <v>242</v>
      </c>
      <c r="B99" s="1" t="s">
        <v>655</v>
      </c>
      <c r="C99" s="1" t="s">
        <v>648</v>
      </c>
      <c r="D99" s="1" t="s">
        <v>646</v>
      </c>
    </row>
    <row r="100">
      <c r="A100" s="1" t="s">
        <v>244</v>
      </c>
      <c r="B100" s="1" t="s">
        <v>299</v>
      </c>
      <c r="C100" s="1" t="s">
        <v>648</v>
      </c>
      <c r="D100" s="1" t="s">
        <v>646</v>
      </c>
    </row>
    <row r="101">
      <c r="A101" s="1" t="s">
        <v>245</v>
      </c>
      <c r="B101" s="1" t="s">
        <v>710</v>
      </c>
      <c r="C101" s="1" t="s">
        <v>648</v>
      </c>
      <c r="D101" s="1" t="s">
        <v>1</v>
      </c>
    </row>
    <row r="102">
      <c r="A102" s="1" t="s">
        <v>247</v>
      </c>
      <c r="B102" s="1" t="s">
        <v>287</v>
      </c>
      <c r="C102" s="1" t="s">
        <v>648</v>
      </c>
      <c r="D102" s="1" t="s">
        <v>646</v>
      </c>
    </row>
    <row r="104">
      <c r="A104" s="1"/>
    </row>
    <row r="106">
      <c r="A106" s="1"/>
      <c r="B106" s="1"/>
      <c r="C106" s="1"/>
      <c r="D106" s="1"/>
    </row>
    <row r="108">
      <c r="A108" s="1"/>
    </row>
    <row r="110">
      <c r="A110" s="1"/>
      <c r="B110" s="1"/>
      <c r="C110" s="1"/>
      <c r="D110" s="1"/>
    </row>
    <row r="113">
      <c r="A113" s="1"/>
    </row>
    <row r="115">
      <c r="A115" s="1"/>
      <c r="B115" s="1"/>
      <c r="C115" s="1"/>
      <c r="D115" s="1"/>
    </row>
    <row r="118">
      <c r="A118" s="1"/>
    </row>
    <row r="120">
      <c r="A120" s="1"/>
      <c r="B120" s="1"/>
      <c r="C120" s="1"/>
      <c r="D12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tr">
        <f>IFERROR(__xludf.DUMMYFUNCTION("IMPORTHTML(""https://en.wikipedia.org/wiki/Aedesia"", ""table"")"),"- v
   - t
   - e
Platonists")</f>
        <v>- v
   - t
   - e
Platonists</v>
      </c>
      <c r="B1" s="4"/>
    </row>
    <row r="2">
      <c r="A2" s="4" t="str">
        <f>IFERROR(__xludf.DUMMYFUNCTION("""COMPUTED_VALUE"""),"Ancient")</f>
        <v>Ancient</v>
      </c>
      <c r="B2" s="4" t="str">
        <f>IFERROR(__xludf.DUMMYFUNCTION("""COMPUTED_VALUE"""),"[TABLE]")</f>
        <v>[TABLE]</v>
      </c>
    </row>
    <row r="3">
      <c r="A3" s="4" t="str">
        <f>IFERROR(__xludf.DUMMYFUNCTION("""COMPUTED_VALUE"""),"Medieval")</f>
        <v>Medieval</v>
      </c>
      <c r="B3" s="4" t="str">
        <f>IFERROR(__xludf.DUMMYFUNCTION("""COMPUTED_VALUE"""),"- John Scotus Eriugena
   - Al-Farabi
   - Anselm
   - Peter Abelard
   - Bernard
   - Gilbert
   - Thierry
   - Henry of Ghent
   - Bonaventure
   - Theodoric of Freiberg
   - Meister Eckhart
   - Berthold of Moosburg
   - Paul of Venice")</f>
        <v>- John Scotus Eriugena
   - Al-Farabi
   - Anselm
   - Peter Abelard
   - Bernard
   - Gilbert
   - Thierry
   - Henry of Ghent
   - Bonaventure
   - Theodoric of Freiberg
   - Meister Eckhart
   - Berthold of Moosburg
   - Paul of Venice</v>
      </c>
    </row>
    <row r="4">
      <c r="A4" s="4" t="str">
        <f>IFERROR(__xludf.DUMMYFUNCTION("""COMPUTED_VALUE"""),"Modern")</f>
        <v>Modern</v>
      </c>
      <c r="B4" s="4" t="str">
        <f>IFERROR(__xludf.DUMMYFUNCTION("""COMPUTED_VALUE"""),"[TABLE] 
   - Thomas Taylor
   - Emanuel Swedenborg
   - Josiah Royce
   - Aleksei Losev")</f>
        <v>[TABLE] 
   - Thomas Taylor
   - Emanuel Swedenborg
   - Josiah Royce
   - Aleksei Losev</v>
      </c>
    </row>
    <row r="5">
      <c r="A5" s="4" t="str">
        <f>IFERROR(__xludf.DUMMYFUNCTION("""COMPUTED_VALUE"""),"Contemporary")</f>
        <v>Contemporary</v>
      </c>
      <c r="B5" s="4" t="str">
        <f>IFERROR(__xludf.DUMMYFUNCTION("""COMPUTED_VALUE"""),"[TABLE]")</f>
        <v>[TABLE]</v>
      </c>
    </row>
    <row r="8">
      <c r="A8" s="5" t="str">
        <f>IFERROR(__xludf.DUMMYFUNCTION("IMPORTHTML(""https://en.wikipedia.org/wiki/Aedesia"", ""table"", 2)"),"Academics")</f>
        <v>Academics</v>
      </c>
      <c r="B8" s="4" t="str">
        <f>IFERROR(__xludf.DUMMYFUNCTION("""COMPUTED_VALUE"""),"[TABLE]")</f>
        <v>[TABLE]</v>
      </c>
    </row>
    <row r="9">
      <c r="A9" s="4" t="str">
        <f>IFERROR(__xludf.DUMMYFUNCTION("""COMPUTED_VALUE"""),"Middle Platonists")</f>
        <v>Middle Platonists</v>
      </c>
      <c r="B9" s="4" t="str">
        <f>IFERROR(__xludf.DUMMYFUNCTION("""COMPUTED_VALUE"""),"- Antiochus
   - Eudorus of Alexandria
   - Anonymous Theaetetus Commentator
   - Philo of Alexandria
   - Plutarch
   - Justin Martyr
   - Gaius
   - Albinus
   - Alcinous
   - Alexander Peloplaton
   - Apuleius
   - Atticus
   - Maximus of Tyre
   - Num"&amp;"enius of Apamea
   - Ammonius Saccas
   - Longinus
   - Clement of Alexandria
   - Origen
   - Origen the Pagan
   - Calcidius")</f>
        <v>- Antiochus
   - Eudorus of Alexandria
   - Anonymous Theaetetus Commentator
   - Philo of Alexandria
   - Plutarch
   - Justin Martyr
   - Gaius
   - Albinus
   - Alcinous
   - Alexander Peloplaton
   - Apuleius
   - Atticus
   - Maximus of Tyre
   - Numenius of Apamea
   - Ammonius Saccas
   - Longinus
   - Clement of Alexandria
   - Origen
   - Origen the Pagan
   - Calcidius</v>
      </c>
    </row>
    <row r="10">
      <c r="A10" s="4" t="str">
        <f>IFERROR(__xludf.DUMMYFUNCTION("""COMPUTED_VALUE"""),"Neoplatonists")</f>
        <v>Neoplatonists</v>
      </c>
      <c r="B10" s="4" t="str">
        <f>IFERROR(__xludf.DUMMYFUNCTION("""COMPUTED_VALUE"""),"- Plotinus
      - Students
   - Amelius
   - Porphyry of Tyre
   - Iamblichus
   - Sopater
   - Eustathius of Cappadocia
   - Sosipatra
   - Aedesius
   - Dexippus
   - Chrysanthius
   - Theodorus of Asine
   - Julian
   - Salutius
   - Maximus of Ephesu"&amp;"s
   - Eusebius of Myndus
   - Priscus of Epirus
   - Antoninus
   - Hypatia
   - Gaius Marius Victorinus
   - Augustine
   - Macrobius
   - Boethius
[TABLE]")</f>
        <v>- Plotinus
      - Students
   - Amelius
   - Porphyry of Tyre
   - Iamblichus
   - Sopater
   - Eustathius of Cappadocia
   - Sosipatra
   - Aedesius
   - Dexippus
   - Chrysanthius
   - Theodorus of Asine
   - Julian
   - Salutius
   - Maximus of Ephesus
   - Eusebius of Myndus
   - Priscus of Epirus
   - Antoninus
   - Hypatia
   - Gaius Marius Victorinus
   - Augustine
   - Macrobius
   - Boethius
[TABLE]</v>
      </c>
    </row>
    <row r="13">
      <c r="A13" s="5" t="str">
        <f>IFERROR(__xludf.DUMMYFUNCTION("IMPORTHTML(""https://en.wikipedia.org/wiki/Aedesia"", ""table"", 3)"),"Old")</f>
        <v>Old</v>
      </c>
      <c r="B13" s="4" t="str">
        <f>IFERROR(__xludf.DUMMYFUNCTION("""COMPUTED_VALUE"""),"- Plato
   - Aristotle
   - Eudoxus
   - Philip of Opus
   - Aristonymus
   - Coriscus and Erastus of Scepsis
   - Demetrius of Amphipolis
   - Euaeon of Lampsacus
   - Heraclides and Python of Aenus
   - Hestiaeus of Perinthus
   - Lastheneia of Mantinea"&amp;"
   - Timolaus of Cyzicus
   - Speusippus
   - Axiothea of Phlius
   - Heraclides Ponticus
   - Menedemus of Pyrrha
   - Xenocrates
   - Crantor
   - Polemon
   - Crates of Athens")</f>
        <v>- Plato
   - Aristotle
   - Eudoxus
   - Philip of Opus
   - Aristonymus
   - Coriscus and Erastus of Scepsis
   - Demetrius of Amphipolis
   - Euaeon of Lampsacus
   - Heraclides and Python of Aenus
   - Hestiaeus of Perinthus
   - Lastheneia of Mantinea
   - Timolaus of Cyzicus
   - Speusippus
   - Axiothea of Phlius
   - Heraclides Ponticus
   - Menedemus of Pyrrha
   - Xenocrates
   - Crantor
   - Polemon
   - Crates of Athens</v>
      </c>
    </row>
    <row r="14">
      <c r="A14" s="4" t="str">
        <f>IFERROR(__xludf.DUMMYFUNCTION("""COMPUTED_VALUE"""),"Skeptics")</f>
        <v>Skeptics</v>
      </c>
      <c r="B14" s="4" t="str">
        <f>IFERROR(__xludf.DUMMYFUNCTION("""COMPUTED_VALUE"""),"[TABLE]")</f>
        <v>[TABLE]</v>
      </c>
    </row>
    <row r="16">
      <c r="A16" s="5" t="str">
        <f>IFERROR(__xludf.DUMMYFUNCTION("IMPORTHTML(""https://en.wikipedia.org/wiki/Aedesia"", ""table"", 4)"),"Middle")</f>
        <v>Middle</v>
      </c>
      <c r="B16" s="4" t="str">
        <f>IFERROR(__xludf.DUMMYFUNCTION("""COMPUTED_VALUE"""),"- Arcesilaus
   - Diocles of Cnidus
   - Lacydes
   - Telecles and Evander
   - Hegesinus")</f>
        <v>- Arcesilaus
   - Diocles of Cnidus
   - Lacydes
   - Telecles and Evander
   - Hegesinus</v>
      </c>
    </row>
    <row r="17">
      <c r="A17" s="4" t="str">
        <f>IFERROR(__xludf.DUMMYFUNCTION("""COMPUTED_VALUE"""),"New")</f>
        <v>New</v>
      </c>
      <c r="B17" s="4" t="str">
        <f>IFERROR(__xludf.DUMMYFUNCTION("""COMPUTED_VALUE"""),"- Carneades
   - Hagnon of Tarsus
   - Metrodorus of Stratonicea
   - Clitomachus
   - Charmadas
   - Aeschines of Neapolis
   - Philo of Larissa
   - Cicero
   - Dio of Alexandria")</f>
        <v>- Carneades
   - Hagnon of Tarsus
   - Metrodorus of Stratonicea
   - Clitomachus
   - Charmadas
   - Aeschines of Neapolis
   - Philo of Larissa
   - Cicero
   - Dio of Alexandria</v>
      </c>
    </row>
    <row r="19">
      <c r="A19" s="4" t="str">
        <f>IFERROR(__xludf.DUMMYFUNCTION("IMPORTHTML(""https://en.wikipedia.org/wiki/Aedesia"", ""table"", 5)"),"Academy")</f>
        <v>Academy</v>
      </c>
      <c r="B19" s="4" t="str">
        <f>IFERROR(__xludf.DUMMYFUNCTION("""COMPUTED_VALUE"""),"- Plutarch of Athens
   - Asclepigenia
   - Hierocles
   - Syrianus
   - Hermias
   - Aedesia
   - Proclus
   - Marinus
   - Isidore
   - Ammonius Hermiae
   - Asclepiodotus
   - Hegias
   - Zenodotus
   - Agapius
   - Damascius
   - Simplicius
   - Prisc"&amp;"ian
   - John Philoponus
   - Olympiodorus
   - David the Invincible
   - Pseudo-Dionysius the Areopagite")</f>
        <v>- Plutarch of Athens
   - Asclepigenia
   - Hierocles
   - Syrianus
   - Hermias
   - Aedesia
   - Proclus
   - Marinus
   - Isidore
   - Ammonius Hermiae
   - Asclepiodotus
   - Hegias
   - Zenodotus
   - Agapius
   - Damascius
   - Simplicius
   - Priscian
   - John Philoponus
   - Olympiodorus
   - David the Invincible
   - Pseudo-Dionysius the Areopagite</v>
      </c>
    </row>
    <row r="22">
      <c r="A22" s="4" t="str">
        <f>IFERROR(__xludf.DUMMYFUNCTION("IMPORTHTML(""https://en.wikipedia.org/wiki/Aedesia"", ""table"", 6)"),"Renaissance")</f>
        <v>Renaissance</v>
      </c>
      <c r="B22" s="4" t="str">
        <f>IFERROR(__xludf.DUMMYFUNCTION("""COMPUTED_VALUE"""),"[TABLE] 
   - Giordano Bruno
   - Blaise Pascal")</f>
        <v>[TABLE] 
   - Giordano Bruno
   - Blaise Pascal</v>
      </c>
    </row>
    <row r="23">
      <c r="A23" s="4" t="str">
        <f>IFERROR(__xludf.DUMMYFUNCTION("""COMPUTED_VALUE"""),"Cambridge")</f>
        <v>Cambridge</v>
      </c>
      <c r="B23" s="4" t="str">
        <f>IFERROR(__xludf.DUMMYFUNCTION("""COMPUTED_VALUE"""),"- Ralph Cudworth
- Henry More
- Anne Conway")</f>
        <v>- Ralph Cudworth
- Henry More
- Anne Conway</v>
      </c>
    </row>
    <row r="28">
      <c r="A28" s="4" t="str">
        <f>IFERROR(__xludf.DUMMYFUNCTION("IMPORTHTML(""https://en.wikipedia.org/wiki/Aedesia"", ""table"", 7)"),"Florentine Academy")</f>
        <v>Florentine Academy</v>
      </c>
      <c r="B28" s="4" t="str">
        <f>IFERROR(__xludf.DUMMYFUNCTION("""COMPUTED_VALUE"""),"- Plethon
   - Marsilio Ficino
   - Cristoforo Landino
   - Giovanni Pico della Mirandola")</f>
        <v>- Plethon
   - Marsilio Ficino
   - Cristoforo Landino
   - Giovanni Pico della Mirandola</v>
      </c>
    </row>
    <row r="31">
      <c r="A31" s="4" t="str">
        <f>IFERROR(__xludf.DUMMYFUNCTION("IMPORTHTML(""https://en.wikipedia.org/wiki/Aedesia"", ""table"", 8)"),"Analytic")</f>
        <v>Analytic</v>
      </c>
      <c r="B31" s="4" t="str">
        <f>IFERROR(__xludf.DUMMYFUNCTION("""COMPUTED_VALUE"""),"- Gottlob Frege
- Bertrand Russell
- Kurt Gödel
- Roderick Chisholm
- W. V. O. Quine
- Jan Łukasiewicz
- Crispin Wright
- Edward N. Zalta
- Penelope Maddy")</f>
        <v>- Gottlob Frege
- Bertrand Russell
- Kurt Gödel
- Roderick Chisholm
- W. V. O. Quine
- Jan Łukasiewicz
- Crispin Wright
- Edward N. Zalta
- Penelope Maddy</v>
      </c>
    </row>
    <row r="32">
      <c r="A32" s="4" t="str">
        <f>IFERROR(__xludf.DUMMYFUNCTION("""COMPUTED_VALUE"""),"Continental")</f>
        <v>Continental</v>
      </c>
      <c r="B32" s="4" t="str">
        <f>IFERROR(__xludf.DUMMYFUNCTION("""COMPUTED_VALUE"""),"- Edmund Husserl
   - Leo Strauss
   - Julius Evola")</f>
        <v>- Edmund Husserl
   - Leo Strauss
   - Julius Evola</v>
      </c>
    </row>
    <row r="36">
      <c r="A36" s="4" t="str">
        <f>IFERROR(__xludf.DUMMYFUNCTION("IMPORTHTML(""https://en.wikipedia.org/wiki/Aedesia"", ""table"", 9)"),"")</f>
        <v/>
      </c>
      <c r="B36" s="4" t="str">
        <f>IFERROR(__xludf.DUMMYFUNCTION("""COMPUTED_VALUE"""),"This biography of a philosopher from ancient Greece is a stub. You can help 
Wikipedia by adding missing information.")</f>
        <v>This biography of a philosopher from ancient Greece is a stub. You can help 
Wikipedia by adding missing information.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52</v>
      </c>
      <c r="B1" s="6" t="s">
        <v>711</v>
      </c>
      <c r="C1" s="6" t="s">
        <v>55</v>
      </c>
      <c r="D1" s="7" t="s">
        <v>54</v>
      </c>
    </row>
    <row r="2">
      <c r="A2" s="8" t="s">
        <v>712</v>
      </c>
      <c r="B2" s="8" t="s">
        <v>646</v>
      </c>
      <c r="C2" s="8" t="s">
        <v>260</v>
      </c>
      <c r="D2" s="9" t="s">
        <v>713</v>
      </c>
    </row>
    <row r="3">
      <c r="A3" s="8" t="s">
        <v>58</v>
      </c>
      <c r="B3" s="8" t="s">
        <v>332</v>
      </c>
      <c r="C3" s="8" t="s">
        <v>644</v>
      </c>
      <c r="D3" s="9" t="s">
        <v>714</v>
      </c>
    </row>
    <row r="4">
      <c r="A4" s="8" t="s">
        <v>327</v>
      </c>
      <c r="B4" s="8" t="s">
        <v>674</v>
      </c>
      <c r="C4" s="8" t="s">
        <v>715</v>
      </c>
      <c r="D4" s="9" t="s">
        <v>646</v>
      </c>
    </row>
    <row r="5">
      <c r="A5" s="8" t="s">
        <v>394</v>
      </c>
      <c r="B5" s="8" t="s">
        <v>674</v>
      </c>
      <c r="C5" s="8" t="s">
        <v>378</v>
      </c>
      <c r="D5" s="9" t="s">
        <v>716</v>
      </c>
    </row>
    <row r="6">
      <c r="A6" s="8" t="s">
        <v>395</v>
      </c>
      <c r="B6" s="8" t="s">
        <v>372</v>
      </c>
      <c r="C6" s="8" t="s">
        <v>715</v>
      </c>
      <c r="D6" s="9" t="s">
        <v>717</v>
      </c>
    </row>
    <row r="7">
      <c r="A7" s="8" t="s">
        <v>104</v>
      </c>
      <c r="B7" s="8" t="s">
        <v>661</v>
      </c>
      <c r="C7" s="8" t="s">
        <v>644</v>
      </c>
      <c r="D7" s="9" t="s">
        <v>718</v>
      </c>
    </row>
    <row r="8">
      <c r="A8" s="8" t="s">
        <v>719</v>
      </c>
      <c r="B8" s="8" t="s">
        <v>362</v>
      </c>
      <c r="C8" s="8" t="s">
        <v>720</v>
      </c>
      <c r="D8" s="9" t="s">
        <v>646</v>
      </c>
    </row>
    <row r="9">
      <c r="A9" s="8" t="s">
        <v>112</v>
      </c>
      <c r="B9" s="8" t="s">
        <v>299</v>
      </c>
      <c r="C9" s="8" t="s">
        <v>648</v>
      </c>
      <c r="D9" s="9" t="s">
        <v>1</v>
      </c>
    </row>
    <row r="10">
      <c r="A10" s="8" t="s">
        <v>421</v>
      </c>
      <c r="B10" s="8" t="s">
        <v>674</v>
      </c>
      <c r="C10" s="8" t="s">
        <v>721</v>
      </c>
      <c r="D10" s="9" t="s">
        <v>259</v>
      </c>
    </row>
    <row r="11">
      <c r="A11" s="8" t="s">
        <v>722</v>
      </c>
      <c r="B11" s="8" t="s">
        <v>655</v>
      </c>
      <c r="C11" s="8" t="s">
        <v>723</v>
      </c>
      <c r="D11" s="9" t="s">
        <v>724</v>
      </c>
    </row>
    <row r="12">
      <c r="A12" s="8" t="s">
        <v>725</v>
      </c>
      <c r="B12" s="8" t="s">
        <v>372</v>
      </c>
      <c r="C12" s="8" t="s">
        <v>715</v>
      </c>
      <c r="D12" s="9" t="s">
        <v>717</v>
      </c>
    </row>
    <row r="13">
      <c r="A13" s="8" t="s">
        <v>500</v>
      </c>
      <c r="B13" s="8" t="s">
        <v>726</v>
      </c>
      <c r="C13" s="8" t="s">
        <v>491</v>
      </c>
      <c r="D13" s="9" t="s">
        <v>646</v>
      </c>
    </row>
    <row r="14">
      <c r="A14" s="8" t="s">
        <v>533</v>
      </c>
      <c r="B14" s="8" t="s">
        <v>299</v>
      </c>
      <c r="C14" s="8" t="s">
        <v>727</v>
      </c>
      <c r="D14" s="9" t="s">
        <v>728</v>
      </c>
    </row>
    <row r="15">
      <c r="A15" s="8" t="s">
        <v>709</v>
      </c>
      <c r="B15" s="8" t="s">
        <v>729</v>
      </c>
      <c r="C15" s="8" t="s">
        <v>644</v>
      </c>
      <c r="D15" s="9" t="s">
        <v>730</v>
      </c>
    </row>
    <row r="16">
      <c r="A16" s="8" t="s">
        <v>184</v>
      </c>
      <c r="B16" s="8" t="s">
        <v>299</v>
      </c>
      <c r="C16" s="8" t="s">
        <v>648</v>
      </c>
      <c r="D16" s="9" t="s">
        <v>1</v>
      </c>
    </row>
    <row r="17">
      <c r="A17" s="8" t="s">
        <v>543</v>
      </c>
      <c r="B17" s="8" t="s">
        <v>674</v>
      </c>
      <c r="C17" s="8" t="s">
        <v>260</v>
      </c>
      <c r="D17" s="9" t="s">
        <v>259</v>
      </c>
    </row>
    <row r="18">
      <c r="A18" s="8" t="s">
        <v>731</v>
      </c>
      <c r="B18" s="8" t="s">
        <v>646</v>
      </c>
      <c r="C18" s="8" t="s">
        <v>715</v>
      </c>
      <c r="D18" s="9" t="s">
        <v>646</v>
      </c>
    </row>
    <row r="19">
      <c r="A19" s="8" t="s">
        <v>563</v>
      </c>
      <c r="B19" s="8" t="s">
        <v>372</v>
      </c>
      <c r="C19" s="8" t="s">
        <v>715</v>
      </c>
      <c r="D19" s="9" t="s">
        <v>717</v>
      </c>
    </row>
    <row r="20">
      <c r="A20" s="8" t="s">
        <v>732</v>
      </c>
      <c r="B20" s="8" t="s">
        <v>646</v>
      </c>
      <c r="C20" s="8" t="s">
        <v>733</v>
      </c>
      <c r="D20" s="9" t="s">
        <v>646</v>
      </c>
    </row>
    <row r="21">
      <c r="A21" s="8" t="s">
        <v>565</v>
      </c>
      <c r="B21" s="8" t="s">
        <v>674</v>
      </c>
      <c r="C21" s="8" t="s">
        <v>359</v>
      </c>
      <c r="D21" s="9" t="s">
        <v>734</v>
      </c>
    </row>
    <row r="22">
      <c r="A22" s="8" t="s">
        <v>735</v>
      </c>
      <c r="B22" s="8" t="s">
        <v>419</v>
      </c>
      <c r="C22" s="8" t="s">
        <v>260</v>
      </c>
      <c r="D22" s="9" t="s">
        <v>713</v>
      </c>
    </row>
    <row r="23">
      <c r="A23" s="8" t="s">
        <v>736</v>
      </c>
      <c r="B23" s="8" t="s">
        <v>737</v>
      </c>
      <c r="C23" s="8" t="s">
        <v>715</v>
      </c>
      <c r="D23" s="9" t="s">
        <v>606</v>
      </c>
    </row>
    <row r="24">
      <c r="A24" s="8" t="s">
        <v>591</v>
      </c>
      <c r="B24" s="8" t="s">
        <v>674</v>
      </c>
      <c r="C24" s="8" t="s">
        <v>715</v>
      </c>
      <c r="D24" s="9" t="s">
        <v>646</v>
      </c>
    </row>
    <row r="25">
      <c r="A25" s="8" t="s">
        <v>738</v>
      </c>
      <c r="B25" s="8" t="s">
        <v>739</v>
      </c>
      <c r="C25" s="8" t="s">
        <v>300</v>
      </c>
      <c r="D25" s="9" t="s">
        <v>740</v>
      </c>
    </row>
    <row r="26">
      <c r="A26" s="8" t="s">
        <v>741</v>
      </c>
      <c r="B26" s="8" t="s">
        <v>332</v>
      </c>
      <c r="C26" s="8" t="s">
        <v>644</v>
      </c>
      <c r="D26" s="9" t="s">
        <v>63</v>
      </c>
    </row>
    <row r="27">
      <c r="A27" s="8" t="s">
        <v>742</v>
      </c>
      <c r="B27" s="8" t="s">
        <v>372</v>
      </c>
      <c r="C27" s="8" t="s">
        <v>715</v>
      </c>
      <c r="D27" s="9" t="s">
        <v>743</v>
      </c>
    </row>
    <row r="28">
      <c r="A28" s="8" t="s">
        <v>627</v>
      </c>
      <c r="B28" s="8" t="s">
        <v>674</v>
      </c>
      <c r="C28" s="8" t="s">
        <v>260</v>
      </c>
      <c r="D28" s="9" t="s">
        <v>259</v>
      </c>
    </row>
    <row r="29">
      <c r="A29" s="8" t="s">
        <v>744</v>
      </c>
      <c r="B29" s="8" t="s">
        <v>372</v>
      </c>
      <c r="C29" s="8" t="s">
        <v>745</v>
      </c>
      <c r="D29" s="9" t="s">
        <v>746</v>
      </c>
    </row>
    <row r="30">
      <c r="A30" s="8" t="s">
        <v>747</v>
      </c>
      <c r="B30" s="8" t="s">
        <v>332</v>
      </c>
      <c r="C30" s="8" t="s">
        <v>644</v>
      </c>
      <c r="D30" s="9" t="s">
        <v>33</v>
      </c>
    </row>
    <row r="31">
      <c r="A31" s="8" t="s">
        <v>636</v>
      </c>
      <c r="B31" s="8" t="s">
        <v>674</v>
      </c>
      <c r="C31" s="8" t="s">
        <v>715</v>
      </c>
      <c r="D31" s="9" t="s">
        <v>646</v>
      </c>
    </row>
  </sheetData>
  <drawing r:id="rId1"/>
</worksheet>
</file>